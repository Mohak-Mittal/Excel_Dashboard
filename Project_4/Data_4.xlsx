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mohak\Downloads\excel data\"/>
    </mc:Choice>
  </mc:AlternateContent>
  <xr:revisionPtr revIDLastSave="0" documentId="13_ncr:1_{5A47FD7B-AB69-4451-B8CB-97B44195D2CA}" xr6:coauthVersionLast="47" xr6:coauthVersionMax="47" xr10:uidLastSave="{00000000-0000-0000-0000-000000000000}"/>
  <bookViews>
    <workbookView xWindow="-108" yWindow="-108" windowWidth="23256" windowHeight="12456" activeTab="3" xr2:uid="{DD6FCBF1-8A12-4232-BB18-81524CFE8819}"/>
  </bookViews>
  <sheets>
    <sheet name="hospitalpatientunclean" sheetId="7" r:id="rId1"/>
    <sheet name="hospital_patient_data" sheetId="3" r:id="rId2"/>
    <sheet name="Pivot Summary" sheetId="4" r:id="rId3"/>
    <sheet name="Chart" sheetId="5" r:id="rId4"/>
  </sheets>
  <definedNames>
    <definedName name="ExternalData_1" localSheetId="0" hidden="1">hospitalpatientunclean!$A$1:$O$502</definedName>
    <definedName name="ExternalData_2" localSheetId="1" hidden="1">hospital_patient_data!$A$1:$O$501</definedName>
    <definedName name="Slicer_Age_Group">#N/A</definedName>
    <definedName name="Slicer_City">#N/A</definedName>
    <definedName name="Slicer_Doctor">#N/A</definedName>
    <definedName name="Slicer_Gender">#N/A</definedName>
    <definedName name="Slicer_Insurance">#N/A</definedName>
    <definedName name="Slicer_Payment_Status">#N/A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501" i="3" l="1"/>
  <c r="P500" i="3"/>
  <c r="P499" i="3"/>
  <c r="P498" i="3"/>
  <c r="P497" i="3"/>
  <c r="P496" i="3"/>
  <c r="P495" i="3"/>
  <c r="P494" i="3"/>
  <c r="P493" i="3"/>
  <c r="P492" i="3"/>
  <c r="P491" i="3"/>
  <c r="P490" i="3"/>
  <c r="P489" i="3"/>
  <c r="P488" i="3"/>
  <c r="P487" i="3"/>
  <c r="P486" i="3"/>
  <c r="P485" i="3"/>
  <c r="P484" i="3"/>
  <c r="P483" i="3"/>
  <c r="P482" i="3"/>
  <c r="P481" i="3"/>
  <c r="P480" i="3"/>
  <c r="P479" i="3"/>
  <c r="P478" i="3"/>
  <c r="P477" i="3"/>
  <c r="P476" i="3"/>
  <c r="P475" i="3"/>
  <c r="P474" i="3"/>
  <c r="P473" i="3"/>
  <c r="P472" i="3"/>
  <c r="P471" i="3"/>
  <c r="P470" i="3"/>
  <c r="P469" i="3"/>
  <c r="P468" i="3"/>
  <c r="P467" i="3"/>
  <c r="P466" i="3"/>
  <c r="P465" i="3"/>
  <c r="P464" i="3"/>
  <c r="P463" i="3"/>
  <c r="P462" i="3"/>
  <c r="P461" i="3"/>
  <c r="P460" i="3"/>
  <c r="P459" i="3"/>
  <c r="P458" i="3"/>
  <c r="P457" i="3"/>
  <c r="P456" i="3"/>
  <c r="P455" i="3"/>
  <c r="P454" i="3"/>
  <c r="P453" i="3"/>
  <c r="P452" i="3"/>
  <c r="P451" i="3"/>
  <c r="P450" i="3"/>
  <c r="P449" i="3"/>
  <c r="P448" i="3"/>
  <c r="P447" i="3"/>
  <c r="P446" i="3"/>
  <c r="P445" i="3"/>
  <c r="P444" i="3"/>
  <c r="P443" i="3"/>
  <c r="P442" i="3"/>
  <c r="P441" i="3"/>
  <c r="P440" i="3"/>
  <c r="P439" i="3"/>
  <c r="P438" i="3"/>
  <c r="P437" i="3"/>
  <c r="P436" i="3"/>
  <c r="P435" i="3"/>
  <c r="P434" i="3"/>
  <c r="P433" i="3"/>
  <c r="P432" i="3"/>
  <c r="P431" i="3"/>
  <c r="P430" i="3"/>
  <c r="P429" i="3"/>
  <c r="P428" i="3"/>
  <c r="P427" i="3"/>
  <c r="P426" i="3"/>
  <c r="P425" i="3"/>
  <c r="P424" i="3"/>
  <c r="P423" i="3"/>
  <c r="P422" i="3"/>
  <c r="P421" i="3"/>
  <c r="P420" i="3"/>
  <c r="P419" i="3"/>
  <c r="P418" i="3"/>
  <c r="P417" i="3"/>
  <c r="P416" i="3"/>
  <c r="P415" i="3"/>
  <c r="P414" i="3"/>
  <c r="P413" i="3"/>
  <c r="P412" i="3"/>
  <c r="P411" i="3"/>
  <c r="P410" i="3"/>
  <c r="P409" i="3"/>
  <c r="P408" i="3"/>
  <c r="P407" i="3"/>
  <c r="P406" i="3"/>
  <c r="P405" i="3"/>
  <c r="P404" i="3"/>
  <c r="P403" i="3"/>
  <c r="P402" i="3"/>
  <c r="P401" i="3"/>
  <c r="P400" i="3"/>
  <c r="P399" i="3"/>
  <c r="P398" i="3"/>
  <c r="P397" i="3"/>
  <c r="P396" i="3"/>
  <c r="P395" i="3"/>
  <c r="P394" i="3"/>
  <c r="P393" i="3"/>
  <c r="P392" i="3"/>
  <c r="P391" i="3"/>
  <c r="P390" i="3"/>
  <c r="P389" i="3"/>
  <c r="P388" i="3"/>
  <c r="P387" i="3"/>
  <c r="P386" i="3"/>
  <c r="P385" i="3"/>
  <c r="P384" i="3"/>
  <c r="P383" i="3"/>
  <c r="P382" i="3"/>
  <c r="P381" i="3"/>
  <c r="P380" i="3"/>
  <c r="P379" i="3"/>
  <c r="P378" i="3"/>
  <c r="P377" i="3"/>
  <c r="P376" i="3"/>
  <c r="P375" i="3"/>
  <c r="P374" i="3"/>
  <c r="P373" i="3"/>
  <c r="P372" i="3"/>
  <c r="P371" i="3"/>
  <c r="P370" i="3"/>
  <c r="P369" i="3"/>
  <c r="P368" i="3"/>
  <c r="P367" i="3"/>
  <c r="P366" i="3"/>
  <c r="P365" i="3"/>
  <c r="P364" i="3"/>
  <c r="P363" i="3"/>
  <c r="P362" i="3"/>
  <c r="P361" i="3"/>
  <c r="P360" i="3"/>
  <c r="P359" i="3"/>
  <c r="P358" i="3"/>
  <c r="P357" i="3"/>
  <c r="P356" i="3"/>
  <c r="P355" i="3"/>
  <c r="P354" i="3"/>
  <c r="P353" i="3"/>
  <c r="P352" i="3"/>
  <c r="P351" i="3"/>
  <c r="P350" i="3"/>
  <c r="P349" i="3"/>
  <c r="P348" i="3"/>
  <c r="P347" i="3"/>
  <c r="P346" i="3"/>
  <c r="P345" i="3"/>
  <c r="P344" i="3"/>
  <c r="P343" i="3"/>
  <c r="P342" i="3"/>
  <c r="P341" i="3"/>
  <c r="P340" i="3"/>
  <c r="P339" i="3"/>
  <c r="P338" i="3"/>
  <c r="P337" i="3"/>
  <c r="P336" i="3"/>
  <c r="P335" i="3"/>
  <c r="P334" i="3"/>
  <c r="P333" i="3"/>
  <c r="P332" i="3"/>
  <c r="P331" i="3"/>
  <c r="P330" i="3"/>
  <c r="P329" i="3"/>
  <c r="P328" i="3"/>
  <c r="P327" i="3"/>
  <c r="P326" i="3"/>
  <c r="P325" i="3"/>
  <c r="P324" i="3"/>
  <c r="P323" i="3"/>
  <c r="P322" i="3"/>
  <c r="P321" i="3"/>
  <c r="P320" i="3"/>
  <c r="P319" i="3"/>
  <c r="P318" i="3"/>
  <c r="P317" i="3"/>
  <c r="P316" i="3"/>
  <c r="P315" i="3"/>
  <c r="P314" i="3"/>
  <c r="P313" i="3"/>
  <c r="P312" i="3"/>
  <c r="P311" i="3"/>
  <c r="P310" i="3"/>
  <c r="P309" i="3"/>
  <c r="P308" i="3"/>
  <c r="P307" i="3"/>
  <c r="P306" i="3"/>
  <c r="P305" i="3"/>
  <c r="P304" i="3"/>
  <c r="P303" i="3"/>
  <c r="P302" i="3"/>
  <c r="P301" i="3"/>
  <c r="P300" i="3"/>
  <c r="P299" i="3"/>
  <c r="P298" i="3"/>
  <c r="P297" i="3"/>
  <c r="P296" i="3"/>
  <c r="P295" i="3"/>
  <c r="P294" i="3"/>
  <c r="P293" i="3"/>
  <c r="P292" i="3"/>
  <c r="P291" i="3"/>
  <c r="P290" i="3"/>
  <c r="P289" i="3"/>
  <c r="P288" i="3"/>
  <c r="P287" i="3"/>
  <c r="P286" i="3"/>
  <c r="P285" i="3"/>
  <c r="P284" i="3"/>
  <c r="P283" i="3"/>
  <c r="P282" i="3"/>
  <c r="P281" i="3"/>
  <c r="P280" i="3"/>
  <c r="P279" i="3"/>
  <c r="P278" i="3"/>
  <c r="P277" i="3"/>
  <c r="P276" i="3"/>
  <c r="P275" i="3"/>
  <c r="P274" i="3"/>
  <c r="P273" i="3"/>
  <c r="P272" i="3"/>
  <c r="P271" i="3"/>
  <c r="P270" i="3"/>
  <c r="P269" i="3"/>
  <c r="P268" i="3"/>
  <c r="P267" i="3"/>
  <c r="P266" i="3"/>
  <c r="P265" i="3"/>
  <c r="P264" i="3"/>
  <c r="P263" i="3"/>
  <c r="P262" i="3"/>
  <c r="P261" i="3"/>
  <c r="P260" i="3"/>
  <c r="P259" i="3"/>
  <c r="P258" i="3"/>
  <c r="P257" i="3"/>
  <c r="P256" i="3"/>
  <c r="P255" i="3"/>
  <c r="P254" i="3"/>
  <c r="P253" i="3"/>
  <c r="P252" i="3"/>
  <c r="P251" i="3"/>
  <c r="P250" i="3"/>
  <c r="P249" i="3"/>
  <c r="P248" i="3"/>
  <c r="P247" i="3"/>
  <c r="P246" i="3"/>
  <c r="P245" i="3"/>
  <c r="P244" i="3"/>
  <c r="P243" i="3"/>
  <c r="P242" i="3"/>
  <c r="P241" i="3"/>
  <c r="P240" i="3"/>
  <c r="P239" i="3"/>
  <c r="P238" i="3"/>
  <c r="P237" i="3"/>
  <c r="P236" i="3"/>
  <c r="P235" i="3"/>
  <c r="P234" i="3"/>
  <c r="P233" i="3"/>
  <c r="P232" i="3"/>
  <c r="P231" i="3"/>
  <c r="P230" i="3"/>
  <c r="P229" i="3"/>
  <c r="P228" i="3"/>
  <c r="P227" i="3"/>
  <c r="P226" i="3"/>
  <c r="P225" i="3"/>
  <c r="P224" i="3"/>
  <c r="P223" i="3"/>
  <c r="P222" i="3"/>
  <c r="P221" i="3"/>
  <c r="P220" i="3"/>
  <c r="P219" i="3"/>
  <c r="P218" i="3"/>
  <c r="P217" i="3"/>
  <c r="P216" i="3"/>
  <c r="P215" i="3"/>
  <c r="P214" i="3"/>
  <c r="P213" i="3"/>
  <c r="P212" i="3"/>
  <c r="P211" i="3"/>
  <c r="P210" i="3"/>
  <c r="P209" i="3"/>
  <c r="P208" i="3"/>
  <c r="P207" i="3"/>
  <c r="P206" i="3"/>
  <c r="P205" i="3"/>
  <c r="P204" i="3"/>
  <c r="P203" i="3"/>
  <c r="P202" i="3"/>
  <c r="P201" i="3"/>
  <c r="P200" i="3"/>
  <c r="P199" i="3"/>
  <c r="P198" i="3"/>
  <c r="P197" i="3"/>
  <c r="P196" i="3"/>
  <c r="P195" i="3"/>
  <c r="P194" i="3"/>
  <c r="P193" i="3"/>
  <c r="P192" i="3"/>
  <c r="P191" i="3"/>
  <c r="P190" i="3"/>
  <c r="P189" i="3"/>
  <c r="P188" i="3"/>
  <c r="P187" i="3"/>
  <c r="P186" i="3"/>
  <c r="P185" i="3"/>
  <c r="P184" i="3"/>
  <c r="P183" i="3"/>
  <c r="P182" i="3"/>
  <c r="P181" i="3"/>
  <c r="P180" i="3"/>
  <c r="P179" i="3"/>
  <c r="P178" i="3"/>
  <c r="P177" i="3"/>
  <c r="P176" i="3"/>
  <c r="P175" i="3"/>
  <c r="P174" i="3"/>
  <c r="P173" i="3"/>
  <c r="P172" i="3"/>
  <c r="P171" i="3"/>
  <c r="P170" i="3"/>
  <c r="P169" i="3"/>
  <c r="P168" i="3"/>
  <c r="P167" i="3"/>
  <c r="P166" i="3"/>
  <c r="P165" i="3"/>
  <c r="P164" i="3"/>
  <c r="P163" i="3"/>
  <c r="P162" i="3"/>
  <c r="P161" i="3"/>
  <c r="P160" i="3"/>
  <c r="P159" i="3"/>
  <c r="P158" i="3"/>
  <c r="P157" i="3"/>
  <c r="P156" i="3"/>
  <c r="P155" i="3"/>
  <c r="P154" i="3"/>
  <c r="P153" i="3"/>
  <c r="P152" i="3"/>
  <c r="P151" i="3"/>
  <c r="P150" i="3"/>
  <c r="P149" i="3"/>
  <c r="P148" i="3"/>
  <c r="P147" i="3"/>
  <c r="P146" i="3"/>
  <c r="P145" i="3"/>
  <c r="P144" i="3"/>
  <c r="P143" i="3"/>
  <c r="P142" i="3"/>
  <c r="P141" i="3"/>
  <c r="P140" i="3"/>
  <c r="P139" i="3"/>
  <c r="P138" i="3"/>
  <c r="P137" i="3"/>
  <c r="P136" i="3"/>
  <c r="P135" i="3"/>
  <c r="P134" i="3"/>
  <c r="P133" i="3"/>
  <c r="P132" i="3"/>
  <c r="P131" i="3"/>
  <c r="P130" i="3"/>
  <c r="P129" i="3"/>
  <c r="P128" i="3"/>
  <c r="P127" i="3"/>
  <c r="P126" i="3"/>
  <c r="P125" i="3"/>
  <c r="P124" i="3"/>
  <c r="P123" i="3"/>
  <c r="P122" i="3"/>
  <c r="P121" i="3"/>
  <c r="P120" i="3"/>
  <c r="P119" i="3"/>
  <c r="P118" i="3"/>
  <c r="P117" i="3"/>
  <c r="P116" i="3"/>
  <c r="P115" i="3"/>
  <c r="P114" i="3"/>
  <c r="P113" i="3"/>
  <c r="P112" i="3"/>
  <c r="P111" i="3"/>
  <c r="P110" i="3"/>
  <c r="P109" i="3"/>
  <c r="P108" i="3"/>
  <c r="P107" i="3"/>
  <c r="P106" i="3"/>
  <c r="P105" i="3"/>
  <c r="P104" i="3"/>
  <c r="P103" i="3"/>
  <c r="P102" i="3"/>
  <c r="P101" i="3"/>
  <c r="P100" i="3"/>
  <c r="P99" i="3"/>
  <c r="P98" i="3"/>
  <c r="P97" i="3"/>
  <c r="P96" i="3"/>
  <c r="P95" i="3"/>
  <c r="P94" i="3"/>
  <c r="P93" i="3"/>
  <c r="P92" i="3"/>
  <c r="P91" i="3"/>
  <c r="P90" i="3"/>
  <c r="P89" i="3"/>
  <c r="P88" i="3"/>
  <c r="P87" i="3"/>
  <c r="P86" i="3"/>
  <c r="P85" i="3"/>
  <c r="P84" i="3"/>
  <c r="P83" i="3"/>
  <c r="P82" i="3"/>
  <c r="P81" i="3"/>
  <c r="P80" i="3"/>
  <c r="P79" i="3"/>
  <c r="P78" i="3"/>
  <c r="P77" i="3"/>
  <c r="P76" i="3"/>
  <c r="P75" i="3"/>
  <c r="P74" i="3"/>
  <c r="P73" i="3"/>
  <c r="P72" i="3"/>
  <c r="P71" i="3"/>
  <c r="P70" i="3"/>
  <c r="P69" i="3"/>
  <c r="P68" i="3"/>
  <c r="P67" i="3"/>
  <c r="P66" i="3"/>
  <c r="P65" i="3"/>
  <c r="P64" i="3"/>
  <c r="P63" i="3"/>
  <c r="P62" i="3"/>
  <c r="P61" i="3"/>
  <c r="P60" i="3"/>
  <c r="P59" i="3"/>
  <c r="P58" i="3"/>
  <c r="P57" i="3"/>
  <c r="P56" i="3"/>
  <c r="P55" i="3"/>
  <c r="P54" i="3"/>
  <c r="P53" i="3"/>
  <c r="P52" i="3"/>
  <c r="P51" i="3"/>
  <c r="P50" i="3"/>
  <c r="P49" i="3"/>
  <c r="P48" i="3"/>
  <c r="P47" i="3"/>
  <c r="P46" i="3"/>
  <c r="P45" i="3"/>
  <c r="P44" i="3"/>
  <c r="P43" i="3"/>
  <c r="P42" i="3"/>
  <c r="P41" i="3"/>
  <c r="P40" i="3"/>
  <c r="P39" i="3"/>
  <c r="P38" i="3"/>
  <c r="P37" i="3"/>
  <c r="P36" i="3"/>
  <c r="P35" i="3"/>
  <c r="P34" i="3"/>
  <c r="P33" i="3"/>
  <c r="P32" i="3"/>
  <c r="P31" i="3"/>
  <c r="P30" i="3"/>
  <c r="P29" i="3"/>
  <c r="P28" i="3"/>
  <c r="P27" i="3"/>
  <c r="P26" i="3"/>
  <c r="P25" i="3"/>
  <c r="P24" i="3"/>
  <c r="P23" i="3"/>
  <c r="P22" i="3"/>
  <c r="P21" i="3"/>
  <c r="P20" i="3"/>
  <c r="P19" i="3"/>
  <c r="P18" i="3"/>
  <c r="P17" i="3"/>
  <c r="P16" i="3"/>
  <c r="P15" i="3"/>
  <c r="P14" i="3"/>
  <c r="P13" i="3"/>
  <c r="P12" i="3"/>
  <c r="P11" i="3"/>
  <c r="P10" i="3"/>
  <c r="P9" i="3"/>
  <c r="P8" i="3"/>
  <c r="P7" i="3"/>
  <c r="P6" i="3"/>
  <c r="P5" i="3"/>
  <c r="P4" i="3"/>
  <c r="P3" i="3"/>
  <c r="P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3B52271-F63C-42BE-A1C7-F5802A5B6339}" keepAlive="1" name="Query - hospital_patient_unclean_500" description="Connection to the 'hospital_patient_unclean_500' query in the workbook." type="5" refreshedVersion="0" background="1">
    <dbPr connection="Provider=Microsoft.Mashup.OleDb.1;Data Source=$Workbook$;Location=hospital_patient_unclean_500;Extended Properties=&quot;&quot;" command="SELECT * FROM [hospital_patient_unclean_500]"/>
  </connection>
  <connection id="2" xr16:uid="{72536C46-C0AE-4F6D-B154-A1FF8D0B75FA}" keepAlive="1" name="Query - hospital_patient_unclean_500 (2)" description="Connection to the 'hospital_patient_unclean_500 (2)' query in the workbook." type="5" refreshedVersion="8" background="1" saveData="1">
    <dbPr connection="Provider=Microsoft.Mashup.OleDb.1;Data Source=$Workbook$;Location=&quot;hospital_patient_unclean_500 (2)&quot;;Extended Properties=&quot;&quot;" command="SELECT * FROM [hospital_patient_unclean_500 (2)]"/>
  </connection>
  <connection id="3" xr16:uid="{C8CC4761-91B7-4EEB-BAF5-E78A22A1A18D}" keepAlive="1" name="Query - hospital_patient_unclean_500 (3)" description="Connection to the 'hospital_patient_unclean_500 (3)' query in the workbook." type="5" refreshedVersion="8" background="1" saveData="1">
    <dbPr connection="Provider=Microsoft.Mashup.OleDb.1;Data Source=$Workbook$;Location=&quot;hospital_patient_unclean_500 (3)&quot;;Extended Properties=&quot;&quot;" command="SELECT * FROM [hospital_patient_unclean_500 (3)]"/>
  </connection>
</connections>
</file>

<file path=xl/sharedStrings.xml><?xml version="1.0" encoding="utf-8"?>
<sst xmlns="http://schemas.openxmlformats.org/spreadsheetml/2006/main" count="13133" uniqueCount="2314">
  <si>
    <t>Patient_ID</t>
  </si>
  <si>
    <t>Patient_Name</t>
  </si>
  <si>
    <t>Age</t>
  </si>
  <si>
    <t>Gender</t>
  </si>
  <si>
    <t>City</t>
  </si>
  <si>
    <t>Department</t>
  </si>
  <si>
    <t>Doctor</t>
  </si>
  <si>
    <t>Admission_Date</t>
  </si>
  <si>
    <t>Discharge_Date</t>
  </si>
  <si>
    <t>Diagnosis</t>
  </si>
  <si>
    <t>Treatment</t>
  </si>
  <si>
    <t>Bill_Amount</t>
  </si>
  <si>
    <t>Insurance</t>
  </si>
  <si>
    <t>Payment_Status</t>
  </si>
  <si>
    <t>Patient_Status</t>
  </si>
  <si>
    <t>HOSP-10001</t>
  </si>
  <si>
    <t>Suresh Kumar</t>
  </si>
  <si>
    <t>Male</t>
  </si>
  <si>
    <t>Chennai</t>
  </si>
  <si>
    <t>Gastroenterology</t>
  </si>
  <si>
    <t>Dr. Randhir Sud</t>
  </si>
  <si>
    <t>Peptic Ulcer Bleeding</t>
  </si>
  <si>
    <t>Endoscopic Banding</t>
  </si>
  <si>
    <t>Star Health</t>
  </si>
  <si>
    <t>Partially Paid</t>
  </si>
  <si>
    <t>Expired</t>
  </si>
  <si>
    <t>HOSP-10002</t>
  </si>
  <si>
    <t>Ritu Singh</t>
  </si>
  <si>
    <t>Oncology</t>
  </si>
  <si>
    <t>Dr. Suresh Advani</t>
  </si>
  <si>
    <t>Lung Adenocarcinoma</t>
  </si>
  <si>
    <t>Targeted Therapy</t>
  </si>
  <si>
    <t>None / Self Pay</t>
  </si>
  <si>
    <t>Disputed</t>
  </si>
  <si>
    <t>Discharged</t>
  </si>
  <si>
    <t>HOSP-10003</t>
  </si>
  <si>
    <t>Pooja Bose</t>
  </si>
  <si>
    <t>Jaipur</t>
  </si>
  <si>
    <t>General Medicine</t>
  </si>
  <si>
    <t>Platelet Support</t>
  </si>
  <si>
    <t>HDFC ERGO</t>
  </si>
  <si>
    <t>Admitted</t>
  </si>
  <si>
    <t>Neha Sharma</t>
  </si>
  <si>
    <t>Bangalore</t>
  </si>
  <si>
    <t>Neurology</t>
  </si>
  <si>
    <t>Dr. P. N. Renjen</t>
  </si>
  <si>
    <t>Levodopa Therapy</t>
  </si>
  <si>
    <t>Max Bupa</t>
  </si>
  <si>
    <t>Pending</t>
  </si>
  <si>
    <t>HOSP-10005</t>
  </si>
  <si>
    <t>Ananya Gupta</t>
  </si>
  <si>
    <t>Female</t>
  </si>
  <si>
    <t>Delhi</t>
  </si>
  <si>
    <t>Pediatrics</t>
  </si>
  <si>
    <t>Dr. Arvind Bagga</t>
  </si>
  <si>
    <t>Viral Gastroenteritis</t>
  </si>
  <si>
    <t>IV Fluids &amp; Electrolytes</t>
  </si>
  <si>
    <t>HOSP-10006</t>
  </si>
  <si>
    <t>Priya Mehta</t>
  </si>
  <si>
    <t>Insulin Titration</t>
  </si>
  <si>
    <t>ICICI Lombard</t>
  </si>
  <si>
    <t>Paid</t>
  </si>
  <si>
    <t>HOSP-10007</t>
  </si>
  <si>
    <t>Manoj Verma</t>
  </si>
  <si>
    <t>Mumbai</t>
  </si>
  <si>
    <t>Claim Processing</t>
  </si>
  <si>
    <t>HOSP-10008</t>
  </si>
  <si>
    <t>Vihaan Iyer</t>
  </si>
  <si>
    <t>Chandigarh</t>
  </si>
  <si>
    <t>Dr. Krishan Chugh</t>
  </si>
  <si>
    <t>Acute Bronchiolitis</t>
  </si>
  <si>
    <t>Nebulization &amp; O2 Support</t>
  </si>
  <si>
    <t>Care Health</t>
  </si>
  <si>
    <t>HOSP-10009</t>
  </si>
  <si>
    <t>Ritu Nair</t>
  </si>
  <si>
    <t>Colorectal Cancer</t>
  </si>
  <si>
    <t>Colectomy</t>
  </si>
  <si>
    <t>HOSP-10010</t>
  </si>
  <si>
    <t>Neha Iyer</t>
  </si>
  <si>
    <t>Dr. R. K. Singhal</t>
  </si>
  <si>
    <t>Urinary Tract Infection</t>
  </si>
  <si>
    <t>Antibiotic Course</t>
  </si>
  <si>
    <t>HOSP-10011</t>
  </si>
  <si>
    <t>Deepak Iyer</t>
  </si>
  <si>
    <t>Ahmedabad</t>
  </si>
  <si>
    <t>HOSP-10012</t>
  </si>
  <si>
    <t>Pune</t>
  </si>
  <si>
    <t>Cardiology</t>
  </si>
  <si>
    <t>Dr. Devi Shetty</t>
  </si>
  <si>
    <t>Myocardial Infarction</t>
  </si>
  <si>
    <t>HOSP-10013</t>
  </si>
  <si>
    <t>Meera Iyer</t>
  </si>
  <si>
    <t>Thrombolysis</t>
  </si>
  <si>
    <t>Transferred</t>
  </si>
  <si>
    <t>HOSP-10015</t>
  </si>
  <si>
    <t>Kabir Patel</t>
  </si>
  <si>
    <t>Unspecified</t>
  </si>
  <si>
    <t>Hypertensive Crisis</t>
  </si>
  <si>
    <t>IV Labetalol</t>
  </si>
  <si>
    <t>Bajaj Allianz</t>
  </si>
  <si>
    <t>Deepak Bose</t>
  </si>
  <si>
    <t>Dr. Vinod Raina</t>
  </si>
  <si>
    <t>Breast Carcinoma</t>
  </si>
  <si>
    <t>Chemotherapy &amp; Lumpectomy</t>
  </si>
  <si>
    <t>HOSP-10017</t>
  </si>
  <si>
    <t>Dr. Subhash Gupta</t>
  </si>
  <si>
    <t>Kavita Patel</t>
  </si>
  <si>
    <t>Severe Pneumonia</t>
  </si>
  <si>
    <t>IV Antibiotics</t>
  </si>
  <si>
    <t>HOSP-10019</t>
  </si>
  <si>
    <t>Meera Reddy</t>
  </si>
  <si>
    <t>Hyderabad</t>
  </si>
  <si>
    <t>Dr. Naresh Trehan</t>
  </si>
  <si>
    <t>Pacemaker Implantation</t>
  </si>
  <si>
    <t>HOSP-10020</t>
  </si>
  <si>
    <t>Ananya Bose</t>
  </si>
  <si>
    <t>HOSP-10021</t>
  </si>
  <si>
    <t>Ritu Joshi</t>
  </si>
  <si>
    <t>HOSP-10022</t>
  </si>
  <si>
    <t>Manoj Kumar</t>
  </si>
  <si>
    <t>Liver Cirrhosis</t>
  </si>
  <si>
    <t>Paracentesis &amp; Diuretics</t>
  </si>
  <si>
    <t>HOSP-10023</t>
  </si>
  <si>
    <t>Vikram Mehta</t>
  </si>
  <si>
    <t>Kolkata</t>
  </si>
  <si>
    <t>Dr. Anoop Misra</t>
  </si>
  <si>
    <t>HOSP-10024</t>
  </si>
  <si>
    <t>Diya Reddy</t>
  </si>
  <si>
    <t>HOSP-10025</t>
  </si>
  <si>
    <t>Amit Nair</t>
  </si>
  <si>
    <t>HOSP-10026</t>
  </si>
  <si>
    <t>Diya Patel</t>
  </si>
  <si>
    <t>Orthopedics</t>
  </si>
  <si>
    <t>Dr. Ramneek Mahajan</t>
  </si>
  <si>
    <t>Rotator Cuff Tear</t>
  </si>
  <si>
    <t>Arthroscopic Repair</t>
  </si>
  <si>
    <t>HOSP-10027</t>
  </si>
  <si>
    <t>Anita Iyer</t>
  </si>
  <si>
    <t>Dr. SKS Marya</t>
  </si>
  <si>
    <t>Lumbar Spondylosis</t>
  </si>
  <si>
    <t>Spinal Decompression</t>
  </si>
  <si>
    <t>HOSP-10028</t>
  </si>
  <si>
    <t>Sneha Kumar</t>
  </si>
  <si>
    <t>Dr. Veena Kalra</t>
  </si>
  <si>
    <t>HOSP-10029</t>
  </si>
  <si>
    <t>Vikram Patel</t>
  </si>
  <si>
    <t>HOSP-10030</t>
  </si>
  <si>
    <t>Femur Fracture</t>
  </si>
  <si>
    <t>Internal Fixation</t>
  </si>
  <si>
    <t>HOSP-10031</t>
  </si>
  <si>
    <t>Kavita Singh</t>
  </si>
  <si>
    <t>HOSP-10032</t>
  </si>
  <si>
    <t>Suresh Iyer</t>
  </si>
  <si>
    <t>Dr. Mukul Varma</t>
  </si>
  <si>
    <t>Acute Ischemic Stroke</t>
  </si>
  <si>
    <t>tPA Therapy</t>
  </si>
  <si>
    <t>HOSP-10033</t>
  </si>
  <si>
    <t>Kavita Bose</t>
  </si>
  <si>
    <t>Dr. Govind Makharia</t>
  </si>
  <si>
    <t>Amit Joshi</t>
  </si>
  <si>
    <t>Anticonvulsant Therapy</t>
  </si>
  <si>
    <t>HOSP-10035</t>
  </si>
  <si>
    <t>Kabir Singh</t>
  </si>
  <si>
    <t>HOSP-10036</t>
  </si>
  <si>
    <t>Sneha Iyer</t>
  </si>
  <si>
    <t>HOSP-10037</t>
  </si>
  <si>
    <t>Ritu Patel</t>
  </si>
  <si>
    <t>Dr. Atul Gogia</t>
  </si>
  <si>
    <t>HOSP-10038</t>
  </si>
  <si>
    <t>Deepak Joshi</t>
  </si>
  <si>
    <t>HOSP-10039</t>
  </si>
  <si>
    <t>Arrhythmia</t>
  </si>
  <si>
    <t>HOSP-10040</t>
  </si>
  <si>
    <t>Osteoarthritis Knee</t>
  </si>
  <si>
    <t>Total Knee Replacement</t>
  </si>
  <si>
    <t>HOSP-10041</t>
  </si>
  <si>
    <t>Rajesh Sharma</t>
  </si>
  <si>
    <t>Calcutta</t>
  </si>
  <si>
    <t>HOSP-10042</t>
  </si>
  <si>
    <t>Ritu Sharma</t>
  </si>
  <si>
    <t>Gallstones / Cholecystitis</t>
  </si>
  <si>
    <t>Laparoscopic Cholecystectomy</t>
  </si>
  <si>
    <t>HOSP-10043</t>
  </si>
  <si>
    <t>Amit Iyer</t>
  </si>
  <si>
    <t>Type 2 Diabetes Uncontrolled</t>
  </si>
  <si>
    <t>HOSP-10044</t>
  </si>
  <si>
    <t>Amit Sharma</t>
  </si>
  <si>
    <t>HOSP-10045</t>
  </si>
  <si>
    <t>HOSP-10046</t>
  </si>
  <si>
    <t>Lymphoma</t>
  </si>
  <si>
    <t>HOSP-10047</t>
  </si>
  <si>
    <t>Meera Kumar</t>
  </si>
  <si>
    <t>Coronary Artery Disease</t>
  </si>
  <si>
    <t>Angioplasty</t>
  </si>
  <si>
    <t>Neha Patel</t>
  </si>
  <si>
    <t>Dr. Harit Chaturvedi</t>
  </si>
  <si>
    <t>HOSP-10050</t>
  </si>
  <si>
    <t>Kabir Mehta</t>
  </si>
  <si>
    <t>HOSP-10051</t>
  </si>
  <si>
    <t>Manoj Joshi</t>
  </si>
  <si>
    <t>Neonatal Jaundice</t>
  </si>
  <si>
    <t>Phototherapy</t>
  </si>
  <si>
    <t>HOSP-10052</t>
  </si>
  <si>
    <t>HOSP-10053</t>
  </si>
  <si>
    <t>HOSP-10054</t>
  </si>
  <si>
    <t>Sunita Gupta</t>
  </si>
  <si>
    <t>HOSP-10055</t>
  </si>
  <si>
    <t>Ramesh Bose</t>
  </si>
  <si>
    <t>HOSP-10056</t>
  </si>
  <si>
    <t>Vihaan Mehta</t>
  </si>
  <si>
    <t>HOSP-10057</t>
  </si>
  <si>
    <t>Meera Patel</t>
  </si>
  <si>
    <t>HOSP-10058</t>
  </si>
  <si>
    <t>Manoj Bose</t>
  </si>
  <si>
    <t>Ananya Reddy</t>
  </si>
  <si>
    <t>HOSP-10060</t>
  </si>
  <si>
    <t>Heart Failure</t>
  </si>
  <si>
    <t>HOSP-10061</t>
  </si>
  <si>
    <t>Ramesh Verma</t>
  </si>
  <si>
    <t>HOSP-10062</t>
  </si>
  <si>
    <t>Neha Singh</t>
  </si>
  <si>
    <t>Dr. Sushil Razdan</t>
  </si>
  <si>
    <t>HOSP-10063</t>
  </si>
  <si>
    <t>Dr. Harshavardhan Hegde</t>
  </si>
  <si>
    <t>HOSP-10064</t>
  </si>
  <si>
    <t>Rohan Patel</t>
  </si>
  <si>
    <t>HOSP-10065</t>
  </si>
  <si>
    <t>HOSP-10066</t>
  </si>
  <si>
    <t>Sunita Nair</t>
  </si>
  <si>
    <t>HOSP-10067</t>
  </si>
  <si>
    <t>HOSP-10068</t>
  </si>
  <si>
    <t>Aarav Bose</t>
  </si>
  <si>
    <t>Epilepsy</t>
  </si>
  <si>
    <t>HOSP-10069</t>
  </si>
  <si>
    <t>Sneha Joshi</t>
  </si>
  <si>
    <t>HOSP-10070</t>
  </si>
  <si>
    <t>Anjali Verma</t>
  </si>
  <si>
    <t>HOSP-10071</t>
  </si>
  <si>
    <t>HOSP-10072</t>
  </si>
  <si>
    <t>HOSP-10073</t>
  </si>
  <si>
    <t>Priya Nair</t>
  </si>
  <si>
    <t>Ritu Iyer</t>
  </si>
  <si>
    <t>HOSP-10075</t>
  </si>
  <si>
    <t>Meera Mehta</t>
  </si>
  <si>
    <t>Migraine Chronic</t>
  </si>
  <si>
    <t>HOSP-10076</t>
  </si>
  <si>
    <t>Ritu Kumar</t>
  </si>
  <si>
    <t>HOSP-10077</t>
  </si>
  <si>
    <t>Kabir Verma</t>
  </si>
  <si>
    <t>HOSP-10078</t>
  </si>
  <si>
    <t>HOSP-10079</t>
  </si>
  <si>
    <t>Priya Sharma</t>
  </si>
  <si>
    <t>HOSP-10080</t>
  </si>
  <si>
    <t>Ramesh Gupta</t>
  </si>
  <si>
    <t>HOSP-10081</t>
  </si>
  <si>
    <t>HOSP-10082</t>
  </si>
  <si>
    <t>HOSP-10083</t>
  </si>
  <si>
    <t>HOSP-10084</t>
  </si>
  <si>
    <t>Suresh Mehta</t>
  </si>
  <si>
    <t>HOSP-10085</t>
  </si>
  <si>
    <t>Deepak Kumar</t>
  </si>
  <si>
    <t>HOSP-10086</t>
  </si>
  <si>
    <t>Aditya Bose</t>
  </si>
  <si>
    <t>HOSP-10087</t>
  </si>
  <si>
    <t>Suresh Singh</t>
  </si>
  <si>
    <t>HOSP-10088</t>
  </si>
  <si>
    <t>Ritu Mehta</t>
  </si>
  <si>
    <t>Acute Pancreatitis</t>
  </si>
  <si>
    <t>Conservative Management</t>
  </si>
  <si>
    <t>HOSP-10089</t>
  </si>
  <si>
    <t>HOSP-10090</t>
  </si>
  <si>
    <t>Rajesh Iyer</t>
  </si>
  <si>
    <t>HOSP-10091</t>
  </si>
  <si>
    <t>Aarav Verma</t>
  </si>
  <si>
    <t>HOSP-10092</t>
  </si>
  <si>
    <t>Ritu Bose</t>
  </si>
  <si>
    <t>HOSP-10093</t>
  </si>
  <si>
    <t>HOSP-10094</t>
  </si>
  <si>
    <t>Manoj Mehta</t>
  </si>
  <si>
    <t>HOSP-10095</t>
  </si>
  <si>
    <t>Botox Injection &amp; Triptans</t>
  </si>
  <si>
    <t>HOSP-10096</t>
  </si>
  <si>
    <t>HOSP-10097</t>
  </si>
  <si>
    <t>HOSP-10098</t>
  </si>
  <si>
    <t>Ananya Kumar</t>
  </si>
  <si>
    <t>HOSP-10099</t>
  </si>
  <si>
    <t>Pooja Reddy</t>
  </si>
  <si>
    <t>HOSP-10100</t>
  </si>
  <si>
    <t>Diya Kumar</t>
  </si>
  <si>
    <t>HOSP-10101</t>
  </si>
  <si>
    <t>HOSP-10102</t>
  </si>
  <si>
    <t>Priya Bose</t>
  </si>
  <si>
    <t>HOSP-10104</t>
  </si>
  <si>
    <t>Neha Verma</t>
  </si>
  <si>
    <t>HOSP-10105</t>
  </si>
  <si>
    <t>HOSP-10106</t>
  </si>
  <si>
    <t>Diya Bose</t>
  </si>
  <si>
    <t>HOSP-10107</t>
  </si>
  <si>
    <t>Vikram Verma</t>
  </si>
  <si>
    <t>HOSP-10108</t>
  </si>
  <si>
    <t>HOSP-10109</t>
  </si>
  <si>
    <t>Sunita Singh</t>
  </si>
  <si>
    <t>HOSP-10110</t>
  </si>
  <si>
    <t>Rajesh Reddy</t>
  </si>
  <si>
    <t>HOSP-10111</t>
  </si>
  <si>
    <t>Ramesh Sharma</t>
  </si>
  <si>
    <t>HOSP-10112</t>
  </si>
  <si>
    <t>Rajesh Joshi</t>
  </si>
  <si>
    <t>HOSP-10113</t>
  </si>
  <si>
    <t>Diya Joshi</t>
  </si>
  <si>
    <t>HOSP-10114</t>
  </si>
  <si>
    <t>Anjali Joshi</t>
  </si>
  <si>
    <t>HOSP-10115</t>
  </si>
  <si>
    <t>Priya Reddy</t>
  </si>
  <si>
    <t>HOSP-10116</t>
  </si>
  <si>
    <t>Ramesh Mehta</t>
  </si>
  <si>
    <t>HOSP-10117</t>
  </si>
  <si>
    <t>Deepak Mehta</t>
  </si>
  <si>
    <t>HOSP-10118</t>
  </si>
  <si>
    <t>Deepak Singh</t>
  </si>
  <si>
    <t>HOSP-10119</t>
  </si>
  <si>
    <t>HOSP-10120</t>
  </si>
  <si>
    <t>HOSP-10121</t>
  </si>
  <si>
    <t>HOSP-10122</t>
  </si>
  <si>
    <t>Dr. Ashok Seth</t>
  </si>
  <si>
    <t>HOSP-10123</t>
  </si>
  <si>
    <t>Suresh Verma</t>
  </si>
  <si>
    <t>HOSP-10124</t>
  </si>
  <si>
    <t>Anjali Kumar</t>
  </si>
  <si>
    <t>HOSP-10125</t>
  </si>
  <si>
    <t>Kavita Iyer</t>
  </si>
  <si>
    <t>HOSP-10126</t>
  </si>
  <si>
    <t>HOSP-10128</t>
  </si>
  <si>
    <t>Vihaan Gupta</t>
  </si>
  <si>
    <t>HOSP-10129</t>
  </si>
  <si>
    <t>HOSP-10130</t>
  </si>
  <si>
    <t>HOSP-10131</t>
  </si>
  <si>
    <t>Manoj Patel</t>
  </si>
  <si>
    <t>HOSP-10132</t>
  </si>
  <si>
    <t>HOSP-10133</t>
  </si>
  <si>
    <t>Vihaan Singh</t>
  </si>
  <si>
    <t>HOSP-10134</t>
  </si>
  <si>
    <t>Kavita Verma</t>
  </si>
  <si>
    <t>HOSP-10135</t>
  </si>
  <si>
    <t>HOSP-10136</t>
  </si>
  <si>
    <t>Priya Gupta</t>
  </si>
  <si>
    <t>HOSP-10137</t>
  </si>
  <si>
    <t>HOSP-10138</t>
  </si>
  <si>
    <t>Rohan Reddy</t>
  </si>
  <si>
    <t>HOSP-10139</t>
  </si>
  <si>
    <t>HOSP-10140</t>
  </si>
  <si>
    <t>Vikram Nair</t>
  </si>
  <si>
    <t>HOSP-10141</t>
  </si>
  <si>
    <t>Vihaan Reddy</t>
  </si>
  <si>
    <t>HOSP-10142</t>
  </si>
  <si>
    <t>Sneha Verma</t>
  </si>
  <si>
    <t>Anjali Nair</t>
  </si>
  <si>
    <t>HOSP-10144</t>
  </si>
  <si>
    <t>HOSP-10145</t>
  </si>
  <si>
    <t>HOSP-10146</t>
  </si>
  <si>
    <t>Rohan Sharma</t>
  </si>
  <si>
    <t>HOSP-10147</t>
  </si>
  <si>
    <t>Amit Mehta</t>
  </si>
  <si>
    <t>HOSP-10148</t>
  </si>
  <si>
    <t>Vikram Reddy</t>
  </si>
  <si>
    <t>HOSP-10149</t>
  </si>
  <si>
    <t>HOSP-10150</t>
  </si>
  <si>
    <t>Anita Verma</t>
  </si>
  <si>
    <t>HOSP-10151</t>
  </si>
  <si>
    <t>HOSP-10152</t>
  </si>
  <si>
    <t>Kabir Iyer</t>
  </si>
  <si>
    <t>HOSP-10154</t>
  </si>
  <si>
    <t>Rajesh Singh</t>
  </si>
  <si>
    <t>HOSP-10155</t>
  </si>
  <si>
    <t>Kavita Sharma</t>
  </si>
  <si>
    <t>HOSP-10156</t>
  </si>
  <si>
    <t>Rajesh Kumar</t>
  </si>
  <si>
    <t>HOSP-10157</t>
  </si>
  <si>
    <t>HOSP-10158</t>
  </si>
  <si>
    <t>Ananya Mehta</t>
  </si>
  <si>
    <t>HOSP-10159</t>
  </si>
  <si>
    <t>Pooja Nair</t>
  </si>
  <si>
    <t>HOSP-10160</t>
  </si>
  <si>
    <t>HOSP-10161</t>
  </si>
  <si>
    <t>Kavita Joshi</t>
  </si>
  <si>
    <t>HOSP-10162</t>
  </si>
  <si>
    <t>Pooja Singh</t>
  </si>
  <si>
    <t>HOSP-10163</t>
  </si>
  <si>
    <t>Anita Patel</t>
  </si>
  <si>
    <t>Neha Joshi</t>
  </si>
  <si>
    <t>HOSP-10165</t>
  </si>
  <si>
    <t>HOSP-10166</t>
  </si>
  <si>
    <t>Ramesh Reddy</t>
  </si>
  <si>
    <t>HOSP-10167</t>
  </si>
  <si>
    <t>HOSP-10168</t>
  </si>
  <si>
    <t>Ananya Joshi</t>
  </si>
  <si>
    <t>HOSP-10169</t>
  </si>
  <si>
    <t>HOSP-10170</t>
  </si>
  <si>
    <t>Kavita Reddy</t>
  </si>
  <si>
    <t>HOSP-10171</t>
  </si>
  <si>
    <t>Aditya Nair</t>
  </si>
  <si>
    <t>HOSP-10173</t>
  </si>
  <si>
    <t>HOSP-10174</t>
  </si>
  <si>
    <t>Rohan Joshi</t>
  </si>
  <si>
    <t>HOSP-10176</t>
  </si>
  <si>
    <t>HOSP-10177</t>
  </si>
  <si>
    <t>HOSP-10178</t>
  </si>
  <si>
    <t>Deepak Sharma</t>
  </si>
  <si>
    <t>HOSP-10179</t>
  </si>
  <si>
    <t>Ananya Singh</t>
  </si>
  <si>
    <t>HOSP-10180</t>
  </si>
  <si>
    <t>HOSP-10181</t>
  </si>
  <si>
    <t>Kabir Nair</t>
  </si>
  <si>
    <t>HOSP-10182</t>
  </si>
  <si>
    <t>HOSP-10183</t>
  </si>
  <si>
    <t>Ananya Nair</t>
  </si>
  <si>
    <t>HOSP-10185</t>
  </si>
  <si>
    <t>Rohan Verma</t>
  </si>
  <si>
    <t>HOSP-10186</t>
  </si>
  <si>
    <t>HOSP-10187</t>
  </si>
  <si>
    <t>Pooja Joshi</t>
  </si>
  <si>
    <t>HOSP-10188</t>
  </si>
  <si>
    <t>Kabir Bose</t>
  </si>
  <si>
    <t>HOSP-10189</t>
  </si>
  <si>
    <t>HOSP-10190</t>
  </si>
  <si>
    <t>Sunita Joshi</t>
  </si>
  <si>
    <t>HOSP-10191</t>
  </si>
  <si>
    <t>HOSP-10192</t>
  </si>
  <si>
    <t>Kavita Mehta</t>
  </si>
  <si>
    <t>HOSP-10193</t>
  </si>
  <si>
    <t>Ramesh Singh</t>
  </si>
  <si>
    <t>HOSP-10194</t>
  </si>
  <si>
    <t>Vikram Joshi</t>
  </si>
  <si>
    <t>HOSP-10195</t>
  </si>
  <si>
    <t>Kabir Joshi</t>
  </si>
  <si>
    <t>HOSP-10196</t>
  </si>
  <si>
    <t>Aarav Gupta</t>
  </si>
  <si>
    <t>HOSP-10197</t>
  </si>
  <si>
    <t>Ramesh Joshi</t>
  </si>
  <si>
    <t>HOSP-10198</t>
  </si>
  <si>
    <t>HOSP-10199</t>
  </si>
  <si>
    <t>Aarav Patel</t>
  </si>
  <si>
    <t>HOSP-10200</t>
  </si>
  <si>
    <t>HOSP-10201</t>
  </si>
  <si>
    <t>Diya Sharma</t>
  </si>
  <si>
    <t>HOSP-10202</t>
  </si>
  <si>
    <t>Suresh Reddy</t>
  </si>
  <si>
    <t>HOSP-10203</t>
  </si>
  <si>
    <t>Rohan Singh</t>
  </si>
  <si>
    <t>HOSP-10204</t>
  </si>
  <si>
    <t>HOSP-10205</t>
  </si>
  <si>
    <t>Aarav Reddy</t>
  </si>
  <si>
    <t>HOSP-10206</t>
  </si>
  <si>
    <t>Priya Joshi</t>
  </si>
  <si>
    <t>HOSP-10207</t>
  </si>
  <si>
    <t>HOSP-10208</t>
  </si>
  <si>
    <t>Priya Iyer</t>
  </si>
  <si>
    <t>HOSP-10209</t>
  </si>
  <si>
    <t>HOSP-10210</t>
  </si>
  <si>
    <t>Diya Iyer</t>
  </si>
  <si>
    <t>HOSP-10212</t>
  </si>
  <si>
    <t>HOSP-10213</t>
  </si>
  <si>
    <t>Aarav Joshi</t>
  </si>
  <si>
    <t>HOSP-10214</t>
  </si>
  <si>
    <t>Amit Bose</t>
  </si>
  <si>
    <t>HOSP-10215</t>
  </si>
  <si>
    <t>HOSP-10216</t>
  </si>
  <si>
    <t>Neha Nair</t>
  </si>
  <si>
    <t>HOSP-10217</t>
  </si>
  <si>
    <t>HOSP-10218</t>
  </si>
  <si>
    <t>HOSP-10219</t>
  </si>
  <si>
    <t>Ananya Verma</t>
  </si>
  <si>
    <t>HOSP-10220</t>
  </si>
  <si>
    <t>Suresh Joshi</t>
  </si>
  <si>
    <t>HOSP-10221</t>
  </si>
  <si>
    <t>HOSP-10222</t>
  </si>
  <si>
    <t>Anita Reddy</t>
  </si>
  <si>
    <t>HOSP-10223</t>
  </si>
  <si>
    <t>Diya Mehta</t>
  </si>
  <si>
    <t>HOSP-10224</t>
  </si>
  <si>
    <t>Anjali Reddy</t>
  </si>
  <si>
    <t>HOSP-10225</t>
  </si>
  <si>
    <t>HOSP-10226</t>
  </si>
  <si>
    <t>Meera Joshi</t>
  </si>
  <si>
    <t>HOSP-10227</t>
  </si>
  <si>
    <t>HOSP-10228</t>
  </si>
  <si>
    <t>HOSP-10229</t>
  </si>
  <si>
    <t>HOSP-10230</t>
  </si>
  <si>
    <t>Pooja Patel</t>
  </si>
  <si>
    <t>HOSP-10231</t>
  </si>
  <si>
    <t>Aditya Singh</t>
  </si>
  <si>
    <t>HOSP-10232</t>
  </si>
  <si>
    <t>HOSP-10233</t>
  </si>
  <si>
    <t>HOSP-10234</t>
  </si>
  <si>
    <t>HOSP-10235</t>
  </si>
  <si>
    <t>HOSP-10236</t>
  </si>
  <si>
    <t>HOSP-10237</t>
  </si>
  <si>
    <t>HOSP-10238</t>
  </si>
  <si>
    <t>HOSP-10239</t>
  </si>
  <si>
    <t>Amit Kumar</t>
  </si>
  <si>
    <t>HOSP-10240</t>
  </si>
  <si>
    <t>HOSP-10241</t>
  </si>
  <si>
    <t>HOSP-10242</t>
  </si>
  <si>
    <t>Pooja Gupta</t>
  </si>
  <si>
    <t>HOSP-10244</t>
  </si>
  <si>
    <t>Aditya Patel</t>
  </si>
  <si>
    <t>HOSP-10245</t>
  </si>
  <si>
    <t>HOSP-10246</t>
  </si>
  <si>
    <t>HOSP-10247</t>
  </si>
  <si>
    <t>Neha Gupta</t>
  </si>
  <si>
    <t>HOSP-10248</t>
  </si>
  <si>
    <t>HOSP-10249</t>
  </si>
  <si>
    <t>Aditya Mehta</t>
  </si>
  <si>
    <t>HOSP-10250</t>
  </si>
  <si>
    <t>Vihaan Joshi</t>
  </si>
  <si>
    <t>HOSP-10251</t>
  </si>
  <si>
    <t>HOSP-10252</t>
  </si>
  <si>
    <t>HOSP-10253</t>
  </si>
  <si>
    <t>Rajesh Mehta</t>
  </si>
  <si>
    <t>HOSP-10254</t>
  </si>
  <si>
    <t>Vihaan Bose</t>
  </si>
  <si>
    <t>HOSP-10255</t>
  </si>
  <si>
    <t>HOSP-10256</t>
  </si>
  <si>
    <t>HOSP-10257</t>
  </si>
  <si>
    <t>Vihaan Nair</t>
  </si>
  <si>
    <t>HOSP-10258</t>
  </si>
  <si>
    <t>HOSP-10259</t>
  </si>
  <si>
    <t>HOSP-10260</t>
  </si>
  <si>
    <t>Deepak Nair</t>
  </si>
  <si>
    <t>HOSP-10261</t>
  </si>
  <si>
    <t>HOSP-10262</t>
  </si>
  <si>
    <t>HOSP-10264</t>
  </si>
  <si>
    <t>Bombay</t>
  </si>
  <si>
    <t>HOSP-10266</t>
  </si>
  <si>
    <t>HOSP-10267</t>
  </si>
  <si>
    <t>Anita Joshi</t>
  </si>
  <si>
    <t>HOSP-10268</t>
  </si>
  <si>
    <t>HOSP-10269</t>
  </si>
  <si>
    <t>Ramesh Iyer</t>
  </si>
  <si>
    <t>HOSP-10270</t>
  </si>
  <si>
    <t>HOSP-10271</t>
  </si>
  <si>
    <t>HOSP-10272</t>
  </si>
  <si>
    <t>HOSP-10273</t>
  </si>
  <si>
    <t>Vikram Gupta</t>
  </si>
  <si>
    <t>HOSP-10274</t>
  </si>
  <si>
    <t>Neha Bose</t>
  </si>
  <si>
    <t>HOSP-10275</t>
  </si>
  <si>
    <t>HOSP-10276</t>
  </si>
  <si>
    <t>HOSP-10277</t>
  </si>
  <si>
    <t>Kavita Nair</t>
  </si>
  <si>
    <t>HOSP-10278</t>
  </si>
  <si>
    <t>HOSP-10279</t>
  </si>
  <si>
    <t>Aditya Verma</t>
  </si>
  <si>
    <t>HOSP-10280</t>
  </si>
  <si>
    <t>HOSP-10281</t>
  </si>
  <si>
    <t>HOSP-10282</t>
  </si>
  <si>
    <t>HOSP-10283</t>
  </si>
  <si>
    <t>HOSP-10284</t>
  </si>
  <si>
    <t>HOSP-10285</t>
  </si>
  <si>
    <t>HOSP-10286</t>
  </si>
  <si>
    <t>HOSP-10287</t>
  </si>
  <si>
    <t>Ramesh Kumar</t>
  </si>
  <si>
    <t>HOSP-10288</t>
  </si>
  <si>
    <t>HOSP-10289</t>
  </si>
  <si>
    <t>Aarav Kumar</t>
  </si>
  <si>
    <t>HOSP-10290</t>
  </si>
  <si>
    <t>HOSP-10291</t>
  </si>
  <si>
    <t>Anjali Iyer</t>
  </si>
  <si>
    <t>HOSP-10292</t>
  </si>
  <si>
    <t>HOSP-10293</t>
  </si>
  <si>
    <t>Suresh Nair</t>
  </si>
  <si>
    <t>HOSP-10294</t>
  </si>
  <si>
    <t>HOSP-10295</t>
  </si>
  <si>
    <t>HOSP-10296</t>
  </si>
  <si>
    <t>HOSP-10297</t>
  </si>
  <si>
    <t>HOSP-10298</t>
  </si>
  <si>
    <t>Pooja Verma</t>
  </si>
  <si>
    <t>HOSP-10299</t>
  </si>
  <si>
    <t>HOSP-10300</t>
  </si>
  <si>
    <t>HOSP-10301</t>
  </si>
  <si>
    <t>HOSP-10302</t>
  </si>
  <si>
    <t>HOSP-10303</t>
  </si>
  <si>
    <t>HOSP-10304</t>
  </si>
  <si>
    <t>Diya Nair</t>
  </si>
  <si>
    <t>HOSP-10305</t>
  </si>
  <si>
    <t>HOSP-10306</t>
  </si>
  <si>
    <t>Anjali Bose</t>
  </si>
  <si>
    <t>HOSP-10307</t>
  </si>
  <si>
    <t>HOSP-10308</t>
  </si>
  <si>
    <t>Ananya Iyer</t>
  </si>
  <si>
    <t>HOSP-10309</t>
  </si>
  <si>
    <t>HOSP-10310</t>
  </si>
  <si>
    <t>HOSP-10311</t>
  </si>
  <si>
    <t>Suresh Bose</t>
  </si>
  <si>
    <t>HOSP-10312</t>
  </si>
  <si>
    <t>HOSP-10314</t>
  </si>
  <si>
    <t>Anita Nair</t>
  </si>
  <si>
    <t>HOSP-10315</t>
  </si>
  <si>
    <t>HOSP-10316</t>
  </si>
  <si>
    <t>HOSP-10317</t>
  </si>
  <si>
    <t>Pooja Sharma</t>
  </si>
  <si>
    <t>HOSP-10318</t>
  </si>
  <si>
    <t>Anjali Gupta</t>
  </si>
  <si>
    <t>HOSP-10319</t>
  </si>
  <si>
    <t>HOSP-10320</t>
  </si>
  <si>
    <t>Sneha Gupta</t>
  </si>
  <si>
    <t>HOSP-10321</t>
  </si>
  <si>
    <t>Deepak Gupta</t>
  </si>
  <si>
    <t>HOSP-10322</t>
  </si>
  <si>
    <t>Aarav Mehta</t>
  </si>
  <si>
    <t>HOSP-10323</t>
  </si>
  <si>
    <t>Ananya Sharma</t>
  </si>
  <si>
    <t>HOSP-10325</t>
  </si>
  <si>
    <t>Aditya Joshi</t>
  </si>
  <si>
    <t>HOSP-10326</t>
  </si>
  <si>
    <t>Sunita Patel</t>
  </si>
  <si>
    <t>HOSP-10327</t>
  </si>
  <si>
    <t>HOSP-10328</t>
  </si>
  <si>
    <t>Pooja Kumar</t>
  </si>
  <si>
    <t>HOSP-10330</t>
  </si>
  <si>
    <t>HOSP-10331</t>
  </si>
  <si>
    <t>HOSP-10332</t>
  </si>
  <si>
    <t>HOSP-10333</t>
  </si>
  <si>
    <t>HOSP-10334</t>
  </si>
  <si>
    <t>HOSP-10335</t>
  </si>
  <si>
    <t>HOSP-10336</t>
  </si>
  <si>
    <t>HOSP-10337</t>
  </si>
  <si>
    <t>Diya Gupta</t>
  </si>
  <si>
    <t>HOSP-10339</t>
  </si>
  <si>
    <t>HOSP-10340</t>
  </si>
  <si>
    <t>HOSP-10341</t>
  </si>
  <si>
    <t>HOSP-10342</t>
  </si>
  <si>
    <t>HOSP-10343</t>
  </si>
  <si>
    <t>Amit Patel</t>
  </si>
  <si>
    <t>Bengaluru</t>
  </si>
  <si>
    <t>HOSP-10344</t>
  </si>
  <si>
    <t>HOSP-10345</t>
  </si>
  <si>
    <t>Vikram Sharma</t>
  </si>
  <si>
    <t>HOSP-10346</t>
  </si>
  <si>
    <t>HOSP-10347</t>
  </si>
  <si>
    <t>Kabir Gupta</t>
  </si>
  <si>
    <t>HOSP-10348</t>
  </si>
  <si>
    <t>HOSP-10349</t>
  </si>
  <si>
    <t>Manoj Reddy</t>
  </si>
  <si>
    <t>HOSP-10350</t>
  </si>
  <si>
    <t>Kabir Reddy</t>
  </si>
  <si>
    <t>HOSP-10351</t>
  </si>
  <si>
    <t>Sneha Mehta</t>
  </si>
  <si>
    <t>HOSP-10352</t>
  </si>
  <si>
    <t>Meera Bose</t>
  </si>
  <si>
    <t>HOSP-10353</t>
  </si>
  <si>
    <t>HOSP-10354</t>
  </si>
  <si>
    <t>HOSP-10355</t>
  </si>
  <si>
    <t>HOSP-10356</t>
  </si>
  <si>
    <t>HOSP-10357</t>
  </si>
  <si>
    <t>HOSP-10358</t>
  </si>
  <si>
    <t>HOSP-10359</t>
  </si>
  <si>
    <t>HOSP-10360</t>
  </si>
  <si>
    <t>HOSP-10361</t>
  </si>
  <si>
    <t>Vihaan Verma</t>
  </si>
  <si>
    <t>HOSP-10362</t>
  </si>
  <si>
    <t>HOSP-10363</t>
  </si>
  <si>
    <t>HOSP-10364</t>
  </si>
  <si>
    <t>HOSP-10365</t>
  </si>
  <si>
    <t>Rajesh Gupta</t>
  </si>
  <si>
    <t>HOSP-10366</t>
  </si>
  <si>
    <t>HOSP-10367</t>
  </si>
  <si>
    <t>HOSP-10368</t>
  </si>
  <si>
    <t>Priya Verma</t>
  </si>
  <si>
    <t>HOSP-10369</t>
  </si>
  <si>
    <t>HOSP-10370</t>
  </si>
  <si>
    <t>HOSP-10371</t>
  </si>
  <si>
    <t>HOSP-10372</t>
  </si>
  <si>
    <t>HOSP-10373</t>
  </si>
  <si>
    <t>HOSP-10374</t>
  </si>
  <si>
    <t>HOSP-10375</t>
  </si>
  <si>
    <t>HOSP-10376</t>
  </si>
  <si>
    <t>HOSP-10377</t>
  </si>
  <si>
    <t>HOSP-10378</t>
  </si>
  <si>
    <t>Priya Singh</t>
  </si>
  <si>
    <t>HOSP-10379</t>
  </si>
  <si>
    <t>HOSP-10380</t>
  </si>
  <si>
    <t>HOSP-10381</t>
  </si>
  <si>
    <t>HOSP-10382</t>
  </si>
  <si>
    <t>HOSP-10383</t>
  </si>
  <si>
    <t>HOSP-10384</t>
  </si>
  <si>
    <t>Sneha Patel</t>
  </si>
  <si>
    <t>HOSP-10385</t>
  </si>
  <si>
    <t>Ritu Reddy</t>
  </si>
  <si>
    <t>HOSP-10386</t>
  </si>
  <si>
    <t>Aditya Reddy</t>
  </si>
  <si>
    <t>HOSP-10387</t>
  </si>
  <si>
    <t>HOSP-10388</t>
  </si>
  <si>
    <t>HOSP-10389</t>
  </si>
  <si>
    <t>HOSP-10390</t>
  </si>
  <si>
    <t>HOSP-10391</t>
  </si>
  <si>
    <t>HOSP-10392</t>
  </si>
  <si>
    <t>HOSP-10393</t>
  </si>
  <si>
    <t>HOSP-10394</t>
  </si>
  <si>
    <t>HOSP-10395</t>
  </si>
  <si>
    <t>HOSP-10396</t>
  </si>
  <si>
    <t>HOSP-10397</t>
  </si>
  <si>
    <t>Sunita Verma</t>
  </si>
  <si>
    <t>HOSP-10398</t>
  </si>
  <si>
    <t>HOSP-10399</t>
  </si>
  <si>
    <t>Anita Mehta</t>
  </si>
  <si>
    <t>HOSP-10400</t>
  </si>
  <si>
    <t>HOSP-10402</t>
  </si>
  <si>
    <t>Aditya Iyer</t>
  </si>
  <si>
    <t>HOSP-10404</t>
  </si>
  <si>
    <t>HOSP-10405</t>
  </si>
  <si>
    <t>HOSP-10406</t>
  </si>
  <si>
    <t>HOSP-10407</t>
  </si>
  <si>
    <t>HOSP-10408</t>
  </si>
  <si>
    <t>Suresh Patel</t>
  </si>
  <si>
    <t>HOSP-10409</t>
  </si>
  <si>
    <t>HOSP-10410</t>
  </si>
  <si>
    <t>HOSP-10411</t>
  </si>
  <si>
    <t>Anjali Patel</t>
  </si>
  <si>
    <t>HOSP-10412</t>
  </si>
  <si>
    <t>HOSP-10413</t>
  </si>
  <si>
    <t>HOSP-10414</t>
  </si>
  <si>
    <t>HOSP-10415</t>
  </si>
  <si>
    <t>HOSP-10416</t>
  </si>
  <si>
    <t>Manoj Sharma</t>
  </si>
  <si>
    <t>HOSP-10418</t>
  </si>
  <si>
    <t>HOSP-10419</t>
  </si>
  <si>
    <t>HOSP-10420</t>
  </si>
  <si>
    <t>HOSP-10421</t>
  </si>
  <si>
    <t>HOSP-10422</t>
  </si>
  <si>
    <t>Rohan Bose</t>
  </si>
  <si>
    <t>HOSP-10423</t>
  </si>
  <si>
    <t>HOSP-10424</t>
  </si>
  <si>
    <t>HOSP-10425</t>
  </si>
  <si>
    <t>HOSP-10426</t>
  </si>
  <si>
    <t>HOSP-10427</t>
  </si>
  <si>
    <t>Aarav Iyer</t>
  </si>
  <si>
    <t>HOSP-10429</t>
  </si>
  <si>
    <t>Suresh Gupta</t>
  </si>
  <si>
    <t>HOSP-10430</t>
  </si>
  <si>
    <t>HOSP-10431</t>
  </si>
  <si>
    <t>HOSP-10432</t>
  </si>
  <si>
    <t>HOSP-10433</t>
  </si>
  <si>
    <t>HOSP-10435</t>
  </si>
  <si>
    <t>Rajesh Verma</t>
  </si>
  <si>
    <t>HOSP-10436</t>
  </si>
  <si>
    <t>HOSP-10437</t>
  </si>
  <si>
    <t>HOSP-10438</t>
  </si>
  <si>
    <t>HOSP-10439</t>
  </si>
  <si>
    <t>HOSP-10440</t>
  </si>
  <si>
    <t>HOSP-10441</t>
  </si>
  <si>
    <t>HOSP-10442</t>
  </si>
  <si>
    <t>HOSP-10444</t>
  </si>
  <si>
    <t>HOSP-10445</t>
  </si>
  <si>
    <t>HOSP-10446</t>
  </si>
  <si>
    <t>HOSP-10447</t>
  </si>
  <si>
    <t>HOSP-10448</t>
  </si>
  <si>
    <t>HOSP-10449</t>
  </si>
  <si>
    <t>Pooja Mehta</t>
  </si>
  <si>
    <t>HOSP-10450</t>
  </si>
  <si>
    <t>Ramesh Patel</t>
  </si>
  <si>
    <t>HOSP-10451</t>
  </si>
  <si>
    <t>HOSP-10452</t>
  </si>
  <si>
    <t>HOSP-10453</t>
  </si>
  <si>
    <t>HOSP-10454</t>
  </si>
  <si>
    <t>HOSP-10455</t>
  </si>
  <si>
    <t>Deepak Verma</t>
  </si>
  <si>
    <t>HOSP-10456</t>
  </si>
  <si>
    <t>HOSP-10457</t>
  </si>
  <si>
    <t>HOSP-10458</t>
  </si>
  <si>
    <t>HOSP-10459</t>
  </si>
  <si>
    <t>HOSP-10460</t>
  </si>
  <si>
    <t>Amit Singh</t>
  </si>
  <si>
    <t>HOSP-10461</t>
  </si>
  <si>
    <t>HOSP-10462</t>
  </si>
  <si>
    <t>HOSP-10463</t>
  </si>
  <si>
    <t>HOSP-10464</t>
  </si>
  <si>
    <t>HOSP-10465</t>
  </si>
  <si>
    <t>Priya Patel</t>
  </si>
  <si>
    <t>HOSP-10466</t>
  </si>
  <si>
    <t>Vikram Iyer</t>
  </si>
  <si>
    <t>HOSP-10468</t>
  </si>
  <si>
    <t>HOSP-10469</t>
  </si>
  <si>
    <t>Manoj Nair</t>
  </si>
  <si>
    <t>HOSP-10470</t>
  </si>
  <si>
    <t>HOSP-10472</t>
  </si>
  <si>
    <t>Sunita Kumar</t>
  </si>
  <si>
    <t>HOSP-10473</t>
  </si>
  <si>
    <t>HOSP-10474</t>
  </si>
  <si>
    <t>HOSP-10475</t>
  </si>
  <si>
    <t>HOSP-10476</t>
  </si>
  <si>
    <t>HOSP-10477</t>
  </si>
  <si>
    <t>HOSP-10478</t>
  </si>
  <si>
    <t>HOSP-10479</t>
  </si>
  <si>
    <t>HOSP-10480</t>
  </si>
  <si>
    <t>HOSP-10481</t>
  </si>
  <si>
    <t>Neha Reddy</t>
  </si>
  <si>
    <t>HOSP-10483</t>
  </si>
  <si>
    <t>Vihaan Sharma</t>
  </si>
  <si>
    <t>HOSP-10484</t>
  </si>
  <si>
    <t>HOSP-10485</t>
  </si>
  <si>
    <t>HOSP-10486</t>
  </si>
  <si>
    <t>Meera Singh</t>
  </si>
  <si>
    <t>HOSP-10487</t>
  </si>
  <si>
    <t>Rohan Kumar</t>
  </si>
  <si>
    <t>HOSP-10488</t>
  </si>
  <si>
    <t>HOSP-10489</t>
  </si>
  <si>
    <t>Anita Gupta</t>
  </si>
  <si>
    <t>HOSP-10491</t>
  </si>
  <si>
    <t>HOSP-10492</t>
  </si>
  <si>
    <t>HOSP-10493</t>
  </si>
  <si>
    <t>HOSP-10494</t>
  </si>
  <si>
    <t>HOSP-10495</t>
  </si>
  <si>
    <t>HOSP-10496</t>
  </si>
  <si>
    <t>HOSP-10497</t>
  </si>
  <si>
    <t>HOSP-10498</t>
  </si>
  <si>
    <t>HOSP-10499</t>
  </si>
  <si>
    <t>Rohan Nair</t>
  </si>
  <si>
    <t>Ananya Patel</t>
  </si>
  <si>
    <t>Unknown</t>
  </si>
  <si>
    <t>Discharged Against Medical Advice</t>
  </si>
  <si>
    <t>Ramesh Nair</t>
  </si>
  <si>
    <t>Diya Singh</t>
  </si>
  <si>
    <t>Diya Verma</t>
  </si>
  <si>
    <t>Amit Verma</t>
  </si>
  <si>
    <t>Ritu Verma</t>
  </si>
  <si>
    <t>Meera Nair</t>
  </si>
  <si>
    <t>Rohan Mehta</t>
  </si>
  <si>
    <t>Dengue Fever With Thrombocytopenia</t>
  </si>
  <si>
    <t>HOSP-10004</t>
  </si>
  <si>
    <t>Parkinson'S Disease</t>
  </si>
  <si>
    <t>HOSP-10014</t>
  </si>
  <si>
    <t>HOSP-10016</t>
  </si>
  <si>
    <t>HOSP-10018</t>
  </si>
  <si>
    <t>HOSP-10034</t>
  </si>
  <si>
    <t>R-Chop Regimen</t>
  </si>
  <si>
    <t>HOSP-10048</t>
  </si>
  <si>
    <t>HOSP-10049</t>
  </si>
  <si>
    <t>HOSP-10059</t>
  </si>
  <si>
    <t>Ace Inhibitors &amp; Diuretics</t>
  </si>
  <si>
    <t>HOSP-10074</t>
  </si>
  <si>
    <t>HOSP-10103</t>
  </si>
  <si>
    <t>HOSP-10127</t>
  </si>
  <si>
    <t>HOSP-10143</t>
  </si>
  <si>
    <t>HOSP-10153</t>
  </si>
  <si>
    <t>HOSP-10164</t>
  </si>
  <si>
    <t>HOSP-10172</t>
  </si>
  <si>
    <t>HOSP-10175</t>
  </si>
  <si>
    <t>HOSP-10184</t>
  </si>
  <si>
    <t>HOSP-10211</t>
  </si>
  <si>
    <t>Unpaid</t>
  </si>
  <si>
    <t>HOSP-10243</t>
  </si>
  <si>
    <t>HOSP-10263</t>
  </si>
  <si>
    <t>HOSP-10265</t>
  </si>
  <si>
    <t>HOSP-10313</t>
  </si>
  <si>
    <t>HOSP-10324</t>
  </si>
  <si>
    <t>HOSP-10329</t>
  </si>
  <si>
    <t>HOSP-10338</t>
  </si>
  <si>
    <t>HOSP-10401</t>
  </si>
  <si>
    <t>HOSP-10403</t>
  </si>
  <si>
    <t>HOSP-10417</t>
  </si>
  <si>
    <t>HOSP-10428</t>
  </si>
  <si>
    <t>HOSP-10434</t>
  </si>
  <si>
    <t>HOSP-10443</t>
  </si>
  <si>
    <t>HOSP-10467</t>
  </si>
  <si>
    <t>HOSP-10471</t>
  </si>
  <si>
    <t>HOSP-10482</t>
  </si>
  <si>
    <t>HOSP-10490</t>
  </si>
  <si>
    <t>HOSP-10500</t>
  </si>
  <si>
    <t>Age_Group</t>
  </si>
  <si>
    <t>0-17</t>
  </si>
  <si>
    <t>18-35</t>
  </si>
  <si>
    <t>36-50</t>
  </si>
  <si>
    <t>51-65</t>
  </si>
  <si>
    <t>66+</t>
  </si>
  <si>
    <t>Grand Total</t>
  </si>
  <si>
    <t>Patient Count</t>
  </si>
  <si>
    <t>Total Bill Amount</t>
  </si>
  <si>
    <t>Operation Count</t>
  </si>
  <si>
    <t>Hospital Patient Analysis — Pivot Summary</t>
  </si>
  <si>
    <t>500 patient records | Age groups, demographics, city billings, doctors, insurance and payments</t>
  </si>
  <si>
    <t>Patients by Age Group</t>
  </si>
  <si>
    <t>Patients by Gender</t>
  </si>
  <si>
    <t>Billings by City</t>
  </si>
  <si>
    <t>Operations by Doctor</t>
  </si>
  <si>
    <t>Patients by Insurance</t>
  </si>
  <si>
    <t>Patients by Payment Status</t>
  </si>
  <si>
    <t>Hospital Patient Dashboard</t>
  </si>
  <si>
    <t>Column1</t>
  </si>
  <si>
    <t>Column2</t>
  </si>
  <si>
    <t>Column3</t>
  </si>
  <si>
    <t>Column4</t>
  </si>
  <si>
    <t>Column5</t>
  </si>
  <si>
    <t>Column6</t>
  </si>
  <si>
    <t>Column7</t>
  </si>
  <si>
    <t>Column8</t>
  </si>
  <si>
    <t>Column9</t>
  </si>
  <si>
    <t>Column10</t>
  </si>
  <si>
    <t>Column11</t>
  </si>
  <si>
    <t>Column12</t>
  </si>
  <si>
    <t>Column13</t>
  </si>
  <si>
    <t>Column14</t>
  </si>
  <si>
    <t>Column15</t>
  </si>
  <si>
    <t>28</t>
  </si>
  <si>
    <t>2025-05-11</t>
  </si>
  <si>
    <t>05-18-2025 00:00</t>
  </si>
  <si>
    <t>87393.01</t>
  </si>
  <si>
    <t>55</t>
  </si>
  <si>
    <t>F</t>
  </si>
  <si>
    <t/>
  </si>
  <si>
    <t>01-12-2025 00:00</t>
  </si>
  <si>
    <t>2025-01-24</t>
  </si>
  <si>
    <t>100821.63</t>
  </si>
  <si>
    <t>11</t>
  </si>
  <si>
    <t>dr. anoop misra</t>
  </si>
  <si>
    <t>11-09-2025 00:00</t>
  </si>
  <si>
    <t>Dengue Fever with Thrombocytopenia</t>
  </si>
  <si>
    <t>159034.31</t>
  </si>
  <si>
    <t>PAT-135</t>
  </si>
  <si>
    <t>42</t>
  </si>
  <si>
    <t>female</t>
  </si>
  <si>
    <t>2025-06-13</t>
  </si>
  <si>
    <t>Parkinson's Disease</t>
  </si>
  <si>
    <t>201434.4</t>
  </si>
  <si>
    <t>52</t>
  </si>
  <si>
    <t>2025-03-16</t>
  </si>
  <si>
    <t>27/03/2025</t>
  </si>
  <si>
    <t>130701.41</t>
  </si>
  <si>
    <t>6</t>
  </si>
  <si>
    <t>Anoop Misra</t>
  </si>
  <si>
    <t>11 Oct 2025</t>
  </si>
  <si>
    <t>18 Oct 2025</t>
  </si>
  <si>
    <t>235214.45</t>
  </si>
  <si>
    <t>44</t>
  </si>
  <si>
    <t>Gen. Med</t>
  </si>
  <si>
    <t>07-02-2025 00:00</t>
  </si>
  <si>
    <t>2025-07-09</t>
  </si>
  <si>
    <t>64345.01</t>
  </si>
  <si>
    <t>Discharged against Medical Advice</t>
  </si>
  <si>
    <t>26/02/2025</t>
  </si>
  <si>
    <t>02-28-2025 00:00</t>
  </si>
  <si>
    <t>₹51,199.60</t>
  </si>
  <si>
    <t>paid</t>
  </si>
  <si>
    <t>82</t>
  </si>
  <si>
    <t>19/03/2025</t>
  </si>
  <si>
    <t>25 Mar 2025</t>
  </si>
  <si>
    <t>70846.91</t>
  </si>
  <si>
    <t>8</t>
  </si>
  <si>
    <t>2025-01-23</t>
  </si>
  <si>
    <t>2025-02-05</t>
  </si>
  <si>
    <t>293150.35</t>
  </si>
  <si>
    <t>22</t>
  </si>
  <si>
    <t>2025-01-28</t>
  </si>
  <si>
    <t>02-14-2025 00:00</t>
  </si>
  <si>
    <t>₹220,027.81</t>
  </si>
  <si>
    <t xml:space="preserve">  Diya Nair  </t>
  </si>
  <si>
    <t>35</t>
  </si>
  <si>
    <t>10-03-2025 00:00</t>
  </si>
  <si>
    <t>10-20-2025 00:00</t>
  </si>
  <si>
    <t>THROMBOLYSIS</t>
  </si>
  <si>
    <t>260712.15</t>
  </si>
  <si>
    <t>32</t>
  </si>
  <si>
    <t>07/11/2025</t>
  </si>
  <si>
    <t>2025-11-12</t>
  </si>
  <si>
    <t>INR 278473.99</t>
  </si>
  <si>
    <t>25/10/2025</t>
  </si>
  <si>
    <t>2025-11-05</t>
  </si>
  <si>
    <t>328729.7</t>
  </si>
  <si>
    <t>27</t>
  </si>
  <si>
    <t>31/03/2025</t>
  </si>
  <si>
    <t>2025-03-26</t>
  </si>
  <si>
    <t>75685.5</t>
  </si>
  <si>
    <t>PAT-123</t>
  </si>
  <si>
    <t>30</t>
  </si>
  <si>
    <t>2025-08-14</t>
  </si>
  <si>
    <t>25/08/2025</t>
  </si>
  <si>
    <t>₹18,589.99</t>
  </si>
  <si>
    <t>deceased</t>
  </si>
  <si>
    <t>18</t>
  </si>
  <si>
    <t>02 Jul 2025</t>
  </si>
  <si>
    <t>03/07/2025</t>
  </si>
  <si>
    <t>₹121,300.98</t>
  </si>
  <si>
    <t>PID_1018</t>
  </si>
  <si>
    <t>04-24-2025 00:00</t>
  </si>
  <si>
    <t>38856.69</t>
  </si>
  <si>
    <t>DISCHARGED AGAINST MEDICAL ADVICE</t>
  </si>
  <si>
    <t>0</t>
  </si>
  <si>
    <t>2025-09-27</t>
  </si>
  <si>
    <t>10-07-2025 00:00</t>
  </si>
  <si>
    <t>arrhythmia</t>
  </si>
  <si>
    <t>102930.63</t>
  </si>
  <si>
    <t>CLAIM_PENDING</t>
  </si>
  <si>
    <t>78</t>
  </si>
  <si>
    <t>296127.5</t>
  </si>
  <si>
    <t>33</t>
  </si>
  <si>
    <t>Cardio</t>
  </si>
  <si>
    <t>2025-04-13</t>
  </si>
  <si>
    <t>04-21-2025 00:00</t>
  </si>
  <si>
    <t>₹171,483.52</t>
  </si>
  <si>
    <t>38</t>
  </si>
  <si>
    <t>2025-01-06</t>
  </si>
  <si>
    <t>2025-01-08</t>
  </si>
  <si>
    <t>218725.35</t>
  </si>
  <si>
    <t>15</t>
  </si>
  <si>
    <t>02/05/2025</t>
  </si>
  <si>
    <t>17679.5</t>
  </si>
  <si>
    <t>26/09/2025</t>
  </si>
  <si>
    <t>02/10/2025</t>
  </si>
  <si>
    <t>345599.6</t>
  </si>
  <si>
    <t>23</t>
  </si>
  <si>
    <t>2025-05-27</t>
  </si>
  <si>
    <t>06-14-2025 00:00</t>
  </si>
  <si>
    <t>6379.01</t>
  </si>
  <si>
    <t>N/A</t>
  </si>
  <si>
    <t>81</t>
  </si>
  <si>
    <t>10-15-2025 00:00</t>
  </si>
  <si>
    <t>345147.17</t>
  </si>
  <si>
    <t>14/10/2025</t>
  </si>
  <si>
    <t>01 Nov 2025</t>
  </si>
  <si>
    <t>192645.57</t>
  </si>
  <si>
    <t>60</t>
  </si>
  <si>
    <t>2025-05-26</t>
  </si>
  <si>
    <t>07/06/2025</t>
  </si>
  <si>
    <t>264892.76</t>
  </si>
  <si>
    <t>1</t>
  </si>
  <si>
    <t>hyderabad</t>
  </si>
  <si>
    <t>29 Oct 2025</t>
  </si>
  <si>
    <t>2025-11-07</t>
  </si>
  <si>
    <t>273333.11</t>
  </si>
  <si>
    <t>ramesh nair</t>
  </si>
  <si>
    <t>79</t>
  </si>
  <si>
    <t>06-01-2025 00:00</t>
  </si>
  <si>
    <t>222932.36</t>
  </si>
  <si>
    <t>65</t>
  </si>
  <si>
    <t>Suresh Advani</t>
  </si>
  <si>
    <t>11 Feb 2025</t>
  </si>
  <si>
    <t>2025-02-12</t>
  </si>
  <si>
    <t>83463.0</t>
  </si>
  <si>
    <t>24/01/2025</t>
  </si>
  <si>
    <t>10 Feb 2025</t>
  </si>
  <si>
    <t>INR 312331.51</t>
  </si>
  <si>
    <t>73</t>
  </si>
  <si>
    <t>20/02/2025</t>
  </si>
  <si>
    <t>02-24-2025 00:00</t>
  </si>
  <si>
    <t>117030.29</t>
  </si>
  <si>
    <t>DAMA</t>
  </si>
  <si>
    <t>PAT-105</t>
  </si>
  <si>
    <t>9</t>
  </si>
  <si>
    <t>dr. p. n. renjen</t>
  </si>
  <si>
    <t>06-21-2025 00:00</t>
  </si>
  <si>
    <t>07-09-2025 00:00</t>
  </si>
  <si>
    <t>epilepsy</t>
  </si>
  <si>
    <t>17481.34</t>
  </si>
  <si>
    <t>14</t>
  </si>
  <si>
    <t>2025-05-07</t>
  </si>
  <si>
    <t>05-12-2025 00:00</t>
  </si>
  <si>
    <t>42926.97</t>
  </si>
  <si>
    <t>dr. ashok seth</t>
  </si>
  <si>
    <t>2025-03-23</t>
  </si>
  <si>
    <t>136077.36</t>
  </si>
  <si>
    <t>2025-10-05</t>
  </si>
  <si>
    <t>2025-10-18</t>
  </si>
  <si>
    <t>305300.05</t>
  </si>
  <si>
    <t>none</t>
  </si>
  <si>
    <t>09-23-2025 00:00</t>
  </si>
  <si>
    <t>317162.14</t>
  </si>
  <si>
    <t>66</t>
  </si>
  <si>
    <t>05-26-2025 00:00</t>
  </si>
  <si>
    <t>11 Jun 2025</t>
  </si>
  <si>
    <t>-127749.22</t>
  </si>
  <si>
    <t>ORTHOPEDICS</t>
  </si>
  <si>
    <t>14 Jan 2025</t>
  </si>
  <si>
    <t>01/02/2025</t>
  </si>
  <si>
    <t>₹98,162.26</t>
  </si>
  <si>
    <t>63</t>
  </si>
  <si>
    <t>ONCOLOGY</t>
  </si>
  <si>
    <t>28 Jun 2025</t>
  </si>
  <si>
    <t>R-CHOP Regimen</t>
  </si>
  <si>
    <t>INR 255824.81</t>
  </si>
  <si>
    <t>54</t>
  </si>
  <si>
    <t>2025-06-14</t>
  </si>
  <si>
    <t>121026.07</t>
  </si>
  <si>
    <t>19</t>
  </si>
  <si>
    <t>08-21-2025 00:00</t>
  </si>
  <si>
    <t>272661.81</t>
  </si>
  <si>
    <t>17</t>
  </si>
  <si>
    <t>305369.69</t>
  </si>
  <si>
    <t>anjali nair</t>
  </si>
  <si>
    <t>2025-04-07</t>
  </si>
  <si>
    <t>15/04/2025</t>
  </si>
  <si>
    <t>160725.21</t>
  </si>
  <si>
    <t>59</t>
  </si>
  <si>
    <t>dr. harit chaturvedi</t>
  </si>
  <si>
    <t>15/07/2025</t>
  </si>
  <si>
    <t>07-26-2025 00:00</t>
  </si>
  <si>
    <t>46634.93</t>
  </si>
  <si>
    <t>3</t>
  </si>
  <si>
    <t>2025-10-23</t>
  </si>
  <si>
    <t>01/11/2025</t>
  </si>
  <si>
    <t>30598.91</t>
  </si>
  <si>
    <t>PAT-131</t>
  </si>
  <si>
    <t xml:space="preserve">  Priya Verma  </t>
  </si>
  <si>
    <t>26 Jun 2025</t>
  </si>
  <si>
    <t>30 Jun 2025</t>
  </si>
  <si>
    <t>parkinson's disease</t>
  </si>
  <si>
    <t>298691.2</t>
  </si>
  <si>
    <t>PAT-113</t>
  </si>
  <si>
    <t>47</t>
  </si>
  <si>
    <t>16/03/2025</t>
  </si>
  <si>
    <t>341800.01</t>
  </si>
  <si>
    <t>dr. harshavardhan hegde</t>
  </si>
  <si>
    <t>30 Jul 2025</t>
  </si>
  <si>
    <t>14 Aug 2025</t>
  </si>
  <si>
    <t>153551.82</t>
  </si>
  <si>
    <t>DISCHARGED</t>
  </si>
  <si>
    <t>71</t>
  </si>
  <si>
    <t>30/10/2025</t>
  </si>
  <si>
    <t>11-07-2025 00:00</t>
  </si>
  <si>
    <t>166546.48</t>
  </si>
  <si>
    <t>disputed</t>
  </si>
  <si>
    <t>2025-09-05</t>
  </si>
  <si>
    <t>06/09/2025</t>
  </si>
  <si>
    <t>104991.88</t>
  </si>
  <si>
    <t>Deepak_Singh</t>
  </si>
  <si>
    <t>NEUROLOGY</t>
  </si>
  <si>
    <t>2025-04-25</t>
  </si>
  <si>
    <t>2025-05-02</t>
  </si>
  <si>
    <t>158630.85</t>
  </si>
  <si>
    <t>partially paid</t>
  </si>
  <si>
    <t>20</t>
  </si>
  <si>
    <t>29/11/2025</t>
  </si>
  <si>
    <t>INR 259400.48</t>
  </si>
  <si>
    <t>62</t>
  </si>
  <si>
    <t>₹6,330.59</t>
  </si>
  <si>
    <t>2025-03-07</t>
  </si>
  <si>
    <t>03-21-2025 00:00</t>
  </si>
  <si>
    <t>156042.6</t>
  </si>
  <si>
    <t>4</t>
  </si>
  <si>
    <t>Paediatrics</t>
  </si>
  <si>
    <t>2025-07-07</t>
  </si>
  <si>
    <t>₹117,856.84</t>
  </si>
  <si>
    <t>56 yrs</t>
  </si>
  <si>
    <t>M</t>
  </si>
  <si>
    <t>13 Jan 2025</t>
  </si>
  <si>
    <t>135291.62</t>
  </si>
  <si>
    <t>PID_1059</t>
  </si>
  <si>
    <t>20 Mar 2025</t>
  </si>
  <si>
    <t>31 Mar 2025</t>
  </si>
  <si>
    <t>274287.36</t>
  </si>
  <si>
    <t>dr. naresh trehan</t>
  </si>
  <si>
    <t>12-15-2025 00:00</t>
  </si>
  <si>
    <t>12-26-2025 00:00</t>
  </si>
  <si>
    <t>ACE INHIBITORS &amp; DIURETICS</t>
  </si>
  <si>
    <t>129875.35</t>
  </si>
  <si>
    <t>37</t>
  </si>
  <si>
    <t>2025-01-04</t>
  </si>
  <si>
    <t>133136.08</t>
  </si>
  <si>
    <t>2025-08-20</t>
  </si>
  <si>
    <t>31 Aug 2025</t>
  </si>
  <si>
    <t>301763.98</t>
  </si>
  <si>
    <t>03-16-2025 00:00</t>
  </si>
  <si>
    <t>INR 344150.43</t>
  </si>
  <si>
    <t>19/12/2025</t>
  </si>
  <si>
    <t>01/01/2026</t>
  </si>
  <si>
    <t>31</t>
  </si>
  <si>
    <t>10-21-2025 00:00</t>
  </si>
  <si>
    <t>189136.82</t>
  </si>
  <si>
    <t>21/08/2025</t>
  </si>
  <si>
    <t>28/08/2025</t>
  </si>
  <si>
    <t>₹20,999.67</t>
  </si>
  <si>
    <t>72</t>
  </si>
  <si>
    <t>2025-08-11</t>
  </si>
  <si>
    <t>2025-08-25</t>
  </si>
  <si>
    <t>269850.54</t>
  </si>
  <si>
    <t>29938.95</t>
  </si>
  <si>
    <t>77</t>
  </si>
  <si>
    <t>2025-03-31</t>
  </si>
  <si>
    <t>03/04/2025</t>
  </si>
  <si>
    <t>146946.73</t>
  </si>
  <si>
    <t>-8</t>
  </si>
  <si>
    <t>16/07/2025</t>
  </si>
  <si>
    <t>2025-07-24</t>
  </si>
  <si>
    <t>340423.43</t>
  </si>
  <si>
    <t>13 Jul 2025</t>
  </si>
  <si>
    <t>19/07/2025</t>
  </si>
  <si>
    <t>INR 343098.9</t>
  </si>
  <si>
    <t>36</t>
  </si>
  <si>
    <t>15 Jul 2025</t>
  </si>
  <si>
    <t>66896.94</t>
  </si>
  <si>
    <t>2025-07-04</t>
  </si>
  <si>
    <t>2025-07-21</t>
  </si>
  <si>
    <t>₹285,194.14</t>
  </si>
  <si>
    <t>PID_1074</t>
  </si>
  <si>
    <t>12-23-2025 00:00</t>
  </si>
  <si>
    <t>27/12/2025</t>
  </si>
  <si>
    <t>₹212,529.26</t>
  </si>
  <si>
    <t>25/01/2025</t>
  </si>
  <si>
    <t>02-01-2025 00:00</t>
  </si>
  <si>
    <t>177019.16</t>
  </si>
  <si>
    <t>12-16-2025 00:00</t>
  </si>
  <si>
    <t>2025-12-29</t>
  </si>
  <si>
    <t>ACE Inhibitors &amp; Diuretics</t>
  </si>
  <si>
    <t>123352.72</t>
  </si>
  <si>
    <t>5</t>
  </si>
  <si>
    <t>male</t>
  </si>
  <si>
    <t>25/05/2025</t>
  </si>
  <si>
    <t>303411.22</t>
  </si>
  <si>
    <t>01-11-2025 00:00</t>
  </si>
  <si>
    <t>22/01/2025</t>
  </si>
  <si>
    <t>276272.88</t>
  </si>
  <si>
    <t>2</t>
  </si>
  <si>
    <t>01/10/2025</t>
  </si>
  <si>
    <t>10-02-2025 00:00</t>
  </si>
  <si>
    <t>154201.07</t>
  </si>
  <si>
    <t>Harit Chaturvedi</t>
  </si>
  <si>
    <t>27 May 2025</t>
  </si>
  <si>
    <t>2025-06-06</t>
  </si>
  <si>
    <t>229647.94</t>
  </si>
  <si>
    <t>12-18-2025 00:00</t>
  </si>
  <si>
    <t>2025-12-23</t>
  </si>
  <si>
    <t>229811.18</t>
  </si>
  <si>
    <t>Ritu_Kumar</t>
  </si>
  <si>
    <t>16/09/2025</t>
  </si>
  <si>
    <t>09-27-2025 00:00</t>
  </si>
  <si>
    <t>279358.83</t>
  </si>
  <si>
    <t>18 Nov 2025</t>
  </si>
  <si>
    <t>24 Nov 2025</t>
  </si>
  <si>
    <t>144977.74</t>
  </si>
  <si>
    <t>01-09-2025 00:00</t>
  </si>
  <si>
    <t>33830.34</t>
  </si>
  <si>
    <t>04-12-2025 00:00</t>
  </si>
  <si>
    <t>22/04/2025</t>
  </si>
  <si>
    <t>INR 19666.78</t>
  </si>
  <si>
    <t>37 yrs</t>
  </si>
  <si>
    <t>ahmedabad</t>
  </si>
  <si>
    <t>2025-11-06</t>
  </si>
  <si>
    <t>11-21-2025 00:00</t>
  </si>
  <si>
    <t>20324.26</t>
  </si>
  <si>
    <t>28 Sep 2025</t>
  </si>
  <si>
    <t>08 Oct 2025</t>
  </si>
  <si>
    <t>320565.07</t>
  </si>
  <si>
    <t>19 Oct 2025</t>
  </si>
  <si>
    <t>31 Oct 2025</t>
  </si>
  <si>
    <t>230031.26</t>
  </si>
  <si>
    <t>pooja joshi</t>
  </si>
  <si>
    <t>10 May 2025</t>
  </si>
  <si>
    <t>18 May 2025</t>
  </si>
  <si>
    <t>258859.27</t>
  </si>
  <si>
    <t>40</t>
  </si>
  <si>
    <t>28/09/2025</t>
  </si>
  <si>
    <t>2025-10-10</t>
  </si>
  <si>
    <t>133462.4</t>
  </si>
  <si>
    <t>13 Aug 2025</t>
  </si>
  <si>
    <t>326064.67</t>
  </si>
  <si>
    <t>16</t>
  </si>
  <si>
    <t>12/09/2025</t>
  </si>
  <si>
    <t>2025-09-29</t>
  </si>
  <si>
    <t>63936.59</t>
  </si>
  <si>
    <t>43</t>
  </si>
  <si>
    <t>20/12/2025</t>
  </si>
  <si>
    <t>2025-12-31</t>
  </si>
  <si>
    <t>₹240,187.30</t>
  </si>
  <si>
    <t>51</t>
  </si>
  <si>
    <t>07 Apr 2025</t>
  </si>
  <si>
    <t>04-18-2025 00:00</t>
  </si>
  <si>
    <t>261143.73</t>
  </si>
  <si>
    <t>kavita iyer</t>
  </si>
  <si>
    <t>76</t>
  </si>
  <si>
    <t>12 Feb 2025</t>
  </si>
  <si>
    <t>17 Feb 2025</t>
  </si>
  <si>
    <t>INR 307755.56</t>
  </si>
  <si>
    <t>58</t>
  </si>
  <si>
    <t>03 Nov 2025</t>
  </si>
  <si>
    <t>TOTAL KNEE REPLACEMENT</t>
  </si>
  <si>
    <t>347786.26</t>
  </si>
  <si>
    <t>dr. randhir sud</t>
  </si>
  <si>
    <t>07-24-2025 00:00</t>
  </si>
  <si>
    <t>24001.08</t>
  </si>
  <si>
    <t>87</t>
  </si>
  <si>
    <t>18/11/2025</t>
  </si>
  <si>
    <t>11-19-2025 00:00</t>
  </si>
  <si>
    <t>246727.33</t>
  </si>
  <si>
    <t>85</t>
  </si>
  <si>
    <t>2025-06-17</t>
  </si>
  <si>
    <t>INR 281096.51</t>
  </si>
  <si>
    <t>-7</t>
  </si>
  <si>
    <t>07 Nov 2025</t>
  </si>
  <si>
    <t>ANTICONVULSANT THERAPY</t>
  </si>
  <si>
    <t>307214.53</t>
  </si>
  <si>
    <t>-70</t>
  </si>
  <si>
    <t>23 May 2025</t>
  </si>
  <si>
    <t>2025-05-31</t>
  </si>
  <si>
    <t>339192.39</t>
  </si>
  <si>
    <t>2025-12-14</t>
  </si>
  <si>
    <t>12-22-2025 00:00</t>
  </si>
  <si>
    <t>325667.91</t>
  </si>
  <si>
    <t>36 yrs</t>
  </si>
  <si>
    <t>07-27-2025 00:00</t>
  </si>
  <si>
    <t>197706.83</t>
  </si>
  <si>
    <t>23 yrs</t>
  </si>
  <si>
    <t>2025-12-25</t>
  </si>
  <si>
    <t>12-30-2025 00:00</t>
  </si>
  <si>
    <t>143834.62</t>
  </si>
  <si>
    <t>84421.63</t>
  </si>
  <si>
    <t>05-24-2025 00:00</t>
  </si>
  <si>
    <t>migraine chronic</t>
  </si>
  <si>
    <t>INR 167966.45</t>
  </si>
  <si>
    <t>06-29-2025 00:00</t>
  </si>
  <si>
    <t>01/07/2025</t>
  </si>
  <si>
    <t>302578.84</t>
  </si>
  <si>
    <t>49</t>
  </si>
  <si>
    <t>05/08/2025</t>
  </si>
  <si>
    <t>18 Aug 2025</t>
  </si>
  <si>
    <t>₹245,228.63</t>
  </si>
  <si>
    <t>06-19-2025 00:00</t>
  </si>
  <si>
    <t>06-20-2025 00:00</t>
  </si>
  <si>
    <t>196997.77</t>
  </si>
  <si>
    <t>01-15-2025 00:00</t>
  </si>
  <si>
    <t>2025-01-11</t>
  </si>
  <si>
    <t>208157.84</t>
  </si>
  <si>
    <t>2025-01-03</t>
  </si>
  <si>
    <t>01-14-2025 00:00</t>
  </si>
  <si>
    <t>-77360.97</t>
  </si>
  <si>
    <t>10-23-2025 00:00</t>
  </si>
  <si>
    <t>2025-06-05</t>
  </si>
  <si>
    <t>20469.05</t>
  </si>
  <si>
    <t>61751.41</t>
  </si>
  <si>
    <t>28 Apr 2025</t>
  </si>
  <si>
    <t>2025-05-13</t>
  </si>
  <si>
    <t>-60490.93</t>
  </si>
  <si>
    <t>68 yrs</t>
  </si>
  <si>
    <t>kolkata</t>
  </si>
  <si>
    <t>01-06-2025 00:00</t>
  </si>
  <si>
    <t>2025-01-17</t>
  </si>
  <si>
    <t>peptic ulcer bleeding</t>
  </si>
  <si>
    <t>140940.7</t>
  </si>
  <si>
    <t>2025-04-04</t>
  </si>
  <si>
    <t>16 Apr 2025</t>
  </si>
  <si>
    <t>13022.92</t>
  </si>
  <si>
    <t>16/10/2025</t>
  </si>
  <si>
    <t>ARTHROSCOPIC REPAIR</t>
  </si>
  <si>
    <t>218150.25</t>
  </si>
  <si>
    <t>46</t>
  </si>
  <si>
    <t>12/10/2025</t>
  </si>
  <si>
    <t>164587.4</t>
  </si>
  <si>
    <t>20/06/2025</t>
  </si>
  <si>
    <t>INTERNAL FIXATION</t>
  </si>
  <si>
    <t>110184.01</t>
  </si>
  <si>
    <t>07/01/2025</t>
  </si>
  <si>
    <t>01-23-2025 00:00</t>
  </si>
  <si>
    <t>203771.22</t>
  </si>
  <si>
    <t>83</t>
  </si>
  <si>
    <t>2025-02-03</t>
  </si>
  <si>
    <t>2025-01-31</t>
  </si>
  <si>
    <t>342473.08</t>
  </si>
  <si>
    <t>07-19-2025 00:00</t>
  </si>
  <si>
    <t>10528.94</t>
  </si>
  <si>
    <t>discharged</t>
  </si>
  <si>
    <t>2025-05-30</t>
  </si>
  <si>
    <t>08 Jun 2025</t>
  </si>
  <si>
    <t>120795.08</t>
  </si>
  <si>
    <t>2025-03-04</t>
  </si>
  <si>
    <t>2025-03-15</t>
  </si>
  <si>
    <t>267080.71</t>
  </si>
  <si>
    <t>2025-08-29</t>
  </si>
  <si>
    <t>274996.57</t>
  </si>
  <si>
    <t xml:space="preserve">  Amit Iyer  </t>
  </si>
  <si>
    <t>pune</t>
  </si>
  <si>
    <t>15 Jan 2025</t>
  </si>
  <si>
    <t>319520.47</t>
  </si>
  <si>
    <t>26</t>
  </si>
  <si>
    <t>16 Oct 2025</t>
  </si>
  <si>
    <t>03/11/2025</t>
  </si>
  <si>
    <t>171035.99</t>
  </si>
  <si>
    <t>Kabir_Mehta</t>
  </si>
  <si>
    <t>2025-03-30</t>
  </si>
  <si>
    <t>16/04/2025</t>
  </si>
  <si>
    <t>185136.82</t>
  </si>
  <si>
    <t>48</t>
  </si>
  <si>
    <t>dr. mukul varma</t>
  </si>
  <si>
    <t>23 Jun 2025</t>
  </si>
  <si>
    <t>07 Jul 2025</t>
  </si>
  <si>
    <t>₹94,467.58</t>
  </si>
  <si>
    <t>25</t>
  </si>
  <si>
    <t>06/06/2025</t>
  </si>
  <si>
    <t>15 Jun 2025</t>
  </si>
  <si>
    <t>20656.7</t>
  </si>
  <si>
    <t>Diya_Singh</t>
  </si>
  <si>
    <t>53</t>
  </si>
  <si>
    <t>2025-01-01</t>
  </si>
  <si>
    <t>05/01/2025</t>
  </si>
  <si>
    <t>181016.57</t>
  </si>
  <si>
    <t>21 Mar 2025</t>
  </si>
  <si>
    <t>04/04/2025</t>
  </si>
  <si>
    <t>neonatal jaundice</t>
  </si>
  <si>
    <t>309912.63</t>
  </si>
  <si>
    <t>29/08/2025</t>
  </si>
  <si>
    <t>₹141,900.42</t>
  </si>
  <si>
    <t>09 Jul 2025</t>
  </si>
  <si>
    <t>07-18-2025 00:00</t>
  </si>
  <si>
    <t>₹308,685.09</t>
  </si>
  <si>
    <t>06 Dec 2025</t>
  </si>
  <si>
    <t>68547.92</t>
  </si>
  <si>
    <t>88870.79</t>
  </si>
  <si>
    <t>05-21-2025 00:00</t>
  </si>
  <si>
    <t>81695.98</t>
  </si>
  <si>
    <t>10</t>
  </si>
  <si>
    <t>11/02/2025</t>
  </si>
  <si>
    <t>02-16-2025 00:00</t>
  </si>
  <si>
    <t>₹88,523.45</t>
  </si>
  <si>
    <t>PAID</t>
  </si>
  <si>
    <t>160</t>
  </si>
  <si>
    <t>14/01/2025</t>
  </si>
  <si>
    <t>22 Jan 2025</t>
  </si>
  <si>
    <t>₹221,590.42</t>
  </si>
  <si>
    <t>delhi</t>
  </si>
  <si>
    <t>23/03/2025</t>
  </si>
  <si>
    <t>211178.03</t>
  </si>
  <si>
    <t>57</t>
  </si>
  <si>
    <t>03-24-2025 00:00</t>
  </si>
  <si>
    <t>05 Apr 2025</t>
  </si>
  <si>
    <t>271070.28</t>
  </si>
  <si>
    <t>99999999.0</t>
  </si>
  <si>
    <t>2025-11-04</t>
  </si>
  <si>
    <t>15/11/2025</t>
  </si>
  <si>
    <t>286748.51</t>
  </si>
  <si>
    <t>vikram mehta</t>
  </si>
  <si>
    <t>45</t>
  </si>
  <si>
    <t>chandigarh</t>
  </si>
  <si>
    <t>26/03/2025</t>
  </si>
  <si>
    <t>lumbar spondylosis</t>
  </si>
  <si>
    <t>138546.84</t>
  </si>
  <si>
    <t>20/10/2025</t>
  </si>
  <si>
    <t>₹347,176.11</t>
  </si>
  <si>
    <t>19 Apr 2025</t>
  </si>
  <si>
    <t>27/04/2025</t>
  </si>
  <si>
    <t>296274.05</t>
  </si>
  <si>
    <t>61</t>
  </si>
  <si>
    <t>31/08/2025</t>
  </si>
  <si>
    <t>263655.98</t>
  </si>
  <si>
    <t>03/09/2025</t>
  </si>
  <si>
    <t>274232.43</t>
  </si>
  <si>
    <t>75</t>
  </si>
  <si>
    <t>2025-01-10</t>
  </si>
  <si>
    <t>27/01/2025</t>
  </si>
  <si>
    <t>212814.74</t>
  </si>
  <si>
    <t>41 yrs</t>
  </si>
  <si>
    <t>25/02/2025</t>
  </si>
  <si>
    <t>03-13-2025 00:00</t>
  </si>
  <si>
    <t>167131.29</t>
  </si>
  <si>
    <t>326680.27</t>
  </si>
  <si>
    <t>296096.15</t>
  </si>
  <si>
    <t>12</t>
  </si>
  <si>
    <t>04/07/2025</t>
  </si>
  <si>
    <t>296656.08</t>
  </si>
  <si>
    <t>24/03/2025</t>
  </si>
  <si>
    <t>₹319,545.57</t>
  </si>
  <si>
    <t>67</t>
  </si>
  <si>
    <t>28 Feb 2025</t>
  </si>
  <si>
    <t>18 Mar 2025</t>
  </si>
  <si>
    <t>INR 288794.3</t>
  </si>
  <si>
    <t>88</t>
  </si>
  <si>
    <t>29/06/2025</t>
  </si>
  <si>
    <t>₹216,146.47</t>
  </si>
  <si>
    <t>7</t>
  </si>
  <si>
    <t>09-11-2025 00:00</t>
  </si>
  <si>
    <t>206117.65</t>
  </si>
  <si>
    <t>ADMITTED</t>
  </si>
  <si>
    <t>74</t>
  </si>
  <si>
    <t>291252.39</t>
  </si>
  <si>
    <t>84</t>
  </si>
  <si>
    <t>dr. r. k. singhal</t>
  </si>
  <si>
    <t>28/04/2025</t>
  </si>
  <si>
    <t>2025-05-16</t>
  </si>
  <si>
    <t>260581.65</t>
  </si>
  <si>
    <t>70</t>
  </si>
  <si>
    <t>15/01/2025</t>
  </si>
  <si>
    <t>28/01/2025</t>
  </si>
  <si>
    <t>2025-09-28</t>
  </si>
  <si>
    <t>10 Oct 2025</t>
  </si>
  <si>
    <t>325321.69</t>
  </si>
  <si>
    <t>70 yrs</t>
  </si>
  <si>
    <t>07-06-2025 00:00</t>
  </si>
  <si>
    <t>INR 191669.61</t>
  </si>
  <si>
    <t>PID_1164</t>
  </si>
  <si>
    <t>03-01-2025 00:00</t>
  </si>
  <si>
    <t>257496.48</t>
  </si>
  <si>
    <t>2025-12-27</t>
  </si>
  <si>
    <t>328694.76</t>
  </si>
  <si>
    <t>13</t>
  </si>
  <si>
    <t>10/06/2025</t>
  </si>
  <si>
    <t>06-26-2025 00:00</t>
  </si>
  <si>
    <t>28/03/2025</t>
  </si>
  <si>
    <t>2025-04-01</t>
  </si>
  <si>
    <t>219135.3</t>
  </si>
  <si>
    <t>03-04-2025 00:00</t>
  </si>
  <si>
    <t>129775.24</t>
  </si>
  <si>
    <t>2025-05-01</t>
  </si>
  <si>
    <t>2025-05-06</t>
  </si>
  <si>
    <t>41341.62</t>
  </si>
  <si>
    <t>05 Jan 2025</t>
  </si>
  <si>
    <t>08 Jan 2025</t>
  </si>
  <si>
    <t>146620.88</t>
  </si>
  <si>
    <t>63274.4</t>
  </si>
  <si>
    <t>PID_1172</t>
  </si>
  <si>
    <t>PEDIATRICS</t>
  </si>
  <si>
    <t>2025-07-26</t>
  </si>
  <si>
    <t>INR 47162.34</t>
  </si>
  <si>
    <t>claim processing</t>
  </si>
  <si>
    <t>09/07/2025</t>
  </si>
  <si>
    <t>61086.32</t>
  </si>
  <si>
    <t>39</t>
  </si>
  <si>
    <t>11/01/2025</t>
  </si>
  <si>
    <t>296960.7</t>
  </si>
  <si>
    <t>PID_1175</t>
  </si>
  <si>
    <t>145643.36</t>
  </si>
  <si>
    <t>2025-03-05</t>
  </si>
  <si>
    <t>122826.86</t>
  </si>
  <si>
    <t>05-22-2025 00:00</t>
  </si>
  <si>
    <t>₹110,842.75</t>
  </si>
  <si>
    <t>06-03-2025 00:00</t>
  </si>
  <si>
    <t>11/06/2025</t>
  </si>
  <si>
    <t>263979.82</t>
  </si>
  <si>
    <t>06/01/2025</t>
  </si>
  <si>
    <t>01-19-2025 00:00</t>
  </si>
  <si>
    <t>₹78,147.22</t>
  </si>
  <si>
    <t>2025-04-24</t>
  </si>
  <si>
    <t>240033.83</t>
  </si>
  <si>
    <t>2025-07-18</t>
  </si>
  <si>
    <t>72671.1</t>
  </si>
  <si>
    <t>SKS Marya</t>
  </si>
  <si>
    <t>337302.75</t>
  </si>
  <si>
    <t>25/09/2025</t>
  </si>
  <si>
    <t>10-06-2025 00:00</t>
  </si>
  <si>
    <t>335905.47</t>
  </si>
  <si>
    <t>PAT-117</t>
  </si>
  <si>
    <t>rajesh singh</t>
  </si>
  <si>
    <t>2025-06-24</t>
  </si>
  <si>
    <t>₹340,229.70</t>
  </si>
  <si>
    <t>41</t>
  </si>
  <si>
    <t>16/11/2025</t>
  </si>
  <si>
    <t>229677.72</t>
  </si>
  <si>
    <t>2025-09-21</t>
  </si>
  <si>
    <t>06 Oct 2025</t>
  </si>
  <si>
    <t>LAPAROSCOPIC CHOLECYSTECTOMY</t>
  </si>
  <si>
    <t>337085.85</t>
  </si>
  <si>
    <t>08-26-2025 00:00</t>
  </si>
  <si>
    <t>2025-09-07</t>
  </si>
  <si>
    <t>113281.4</t>
  </si>
  <si>
    <t>80</t>
  </si>
  <si>
    <t>02-10-2025 00:00</t>
  </si>
  <si>
    <t>02-23-2025 00:00</t>
  </si>
  <si>
    <t>165897.27</t>
  </si>
  <si>
    <t>20 Aug 2025</t>
  </si>
  <si>
    <t>08-31-2025 00:00</t>
  </si>
  <si>
    <t>339408.59</t>
  </si>
  <si>
    <t>90858.79</t>
  </si>
  <si>
    <t>15 Feb 2025</t>
  </si>
  <si>
    <t>310615.6</t>
  </si>
  <si>
    <t>2025-10-08</t>
  </si>
  <si>
    <t>2025-10-22</t>
  </si>
  <si>
    <t>348616.66</t>
  </si>
  <si>
    <t>32 yrs</t>
  </si>
  <si>
    <t>01-25-2025 00:00</t>
  </si>
  <si>
    <t>01-31-2025 00:00</t>
  </si>
  <si>
    <t>262925.28</t>
  </si>
  <si>
    <t>09 Dec 2025</t>
  </si>
  <si>
    <t>24/12/2025</t>
  </si>
  <si>
    <t>osteoarthritis knee</t>
  </si>
  <si>
    <t>107724.71</t>
  </si>
  <si>
    <t>50</t>
  </si>
  <si>
    <t>02-12-2025 00:00</t>
  </si>
  <si>
    <t>13 Feb 2025</t>
  </si>
  <si>
    <t>₹272,521.56</t>
  </si>
  <si>
    <t>62 yrs</t>
  </si>
  <si>
    <t>2025-01-02</t>
  </si>
  <si>
    <t>2025-01-13</t>
  </si>
  <si>
    <t>INR 88182.91</t>
  </si>
  <si>
    <t xml:space="preserve">  Kabir Nair  </t>
  </si>
  <si>
    <t>04-26-2025 00:00</t>
  </si>
  <si>
    <t>2025-05-09</t>
  </si>
  <si>
    <t>INR 184325.88</t>
  </si>
  <si>
    <t>pending</t>
  </si>
  <si>
    <t>in-patient</t>
  </si>
  <si>
    <t>-27</t>
  </si>
  <si>
    <t>2025-07-22</t>
  </si>
  <si>
    <t>29 Jul 2025</t>
  </si>
  <si>
    <t>88203.79</t>
  </si>
  <si>
    <t>₹330,817.42</t>
  </si>
  <si>
    <t>72 yrs</t>
  </si>
  <si>
    <t>14 Nov 2025</t>
  </si>
  <si>
    <t>25 Nov 2025</t>
  </si>
  <si>
    <t>21/06/2025</t>
  </si>
  <si>
    <t>06-30-2025 00:00</t>
  </si>
  <si>
    <t>INR 197461.9</t>
  </si>
  <si>
    <t>30/04/2025</t>
  </si>
  <si>
    <t>94965.17</t>
  </si>
  <si>
    <t>2025-09-01</t>
  </si>
  <si>
    <t>18/09/2025</t>
  </si>
  <si>
    <t>266670.65</t>
  </si>
  <si>
    <t>GENERAL MEDICINE</t>
  </si>
  <si>
    <t>18/06/2025</t>
  </si>
  <si>
    <t>52142.03</t>
  </si>
  <si>
    <t>2025-10-01</t>
  </si>
  <si>
    <t>101756.58</t>
  </si>
  <si>
    <t>06-18-2025 00:00</t>
  </si>
  <si>
    <t>291401.61</t>
  </si>
  <si>
    <t>09/12/2025</t>
  </si>
  <si>
    <t>26/12/2025</t>
  </si>
  <si>
    <t>41236.16</t>
  </si>
  <si>
    <t>Arvind Bagga</t>
  </si>
  <si>
    <t>10/10/2025</t>
  </si>
  <si>
    <t>224317.54</t>
  </si>
  <si>
    <t>23 Jul 2025</t>
  </si>
  <si>
    <t>2025-08-04</t>
  </si>
  <si>
    <t>INR 141814.6</t>
  </si>
  <si>
    <t>2025-01-18</t>
  </si>
  <si>
    <t>2025-01-25</t>
  </si>
  <si>
    <t>258112.74</t>
  </si>
  <si>
    <t>255614.72</t>
  </si>
  <si>
    <t>40 yrs</t>
  </si>
  <si>
    <t>10-10-2025 00:00</t>
  </si>
  <si>
    <t>317722.57</t>
  </si>
  <si>
    <t>₹259,754.43</t>
  </si>
  <si>
    <t>29</t>
  </si>
  <si>
    <t>07/04/2025</t>
  </si>
  <si>
    <t>INR 43156.46</t>
  </si>
  <si>
    <t>-69</t>
  </si>
  <si>
    <t>Vinod Raina</t>
  </si>
  <si>
    <t>14/04/2025</t>
  </si>
  <si>
    <t>8472.35</t>
  </si>
  <si>
    <t>Vikram_Nair</t>
  </si>
  <si>
    <t>2025-11-11</t>
  </si>
  <si>
    <t>23 Nov 2025</t>
  </si>
  <si>
    <t>287606.32</t>
  </si>
  <si>
    <t>24 yrs</t>
  </si>
  <si>
    <t>06-04-2025 00:00</t>
  </si>
  <si>
    <t>₹289,092.03</t>
  </si>
  <si>
    <t>12 Dec 2025</t>
  </si>
  <si>
    <t>30/12/2025</t>
  </si>
  <si>
    <t>33757.45</t>
  </si>
  <si>
    <t>unpaid</t>
  </si>
  <si>
    <t>13/07/2025</t>
  </si>
  <si>
    <t>25/07/2025</t>
  </si>
  <si>
    <t>PHOTOTHERAPY</t>
  </si>
  <si>
    <t>137604.06</t>
  </si>
  <si>
    <t>rajesh verma</t>
  </si>
  <si>
    <t>05 Feb 2025</t>
  </si>
  <si>
    <t>02-15-2025 00:00</t>
  </si>
  <si>
    <t>48497.57</t>
  </si>
  <si>
    <t>270774.19</t>
  </si>
  <si>
    <t>jaipur</t>
  </si>
  <si>
    <t>21/03/2025</t>
  </si>
  <si>
    <t>29 Mar 2025</t>
  </si>
  <si>
    <t>SPINAL DECOMPRESSION</t>
  </si>
  <si>
    <t>337793.92</t>
  </si>
  <si>
    <t>23/12/2025</t>
  </si>
  <si>
    <t>INR 288515.29</t>
  </si>
  <si>
    <t>330046.04</t>
  </si>
  <si>
    <t>type 2 diabetes uncontrolled</t>
  </si>
  <si>
    <t>₹64,734.19</t>
  </si>
  <si>
    <t>10/01/2025</t>
  </si>
  <si>
    <t>INR 340459.81</t>
  </si>
  <si>
    <t>2025-06-10</t>
  </si>
  <si>
    <t>82982.5</t>
  </si>
  <si>
    <t>06/05/2025</t>
  </si>
  <si>
    <t>64</t>
  </si>
  <si>
    <t>02-05-2025 00:00</t>
  </si>
  <si>
    <t>19/02/2025</t>
  </si>
  <si>
    <t>324747.28</t>
  </si>
  <si>
    <t>02/01/2025</t>
  </si>
  <si>
    <t>03/01/2025</t>
  </si>
  <si>
    <t xml:space="preserve">  Ramesh Joshi  </t>
  </si>
  <si>
    <t>₹44,700.19</t>
  </si>
  <si>
    <t>21</t>
  </si>
  <si>
    <t>06-22-2025 00:00</t>
  </si>
  <si>
    <t>327792.19</t>
  </si>
  <si>
    <t>2025-11-17</t>
  </si>
  <si>
    <t>-287384.84</t>
  </si>
  <si>
    <t>2025-01-29</t>
  </si>
  <si>
    <t>13/02/2025</t>
  </si>
  <si>
    <t>₹339,754.62</t>
  </si>
  <si>
    <t>11/10/2025</t>
  </si>
  <si>
    <t>10-22-2025 00:00</t>
  </si>
  <si>
    <t>260747.8</t>
  </si>
  <si>
    <t xml:space="preserve">  Priya Mehta  </t>
  </si>
  <si>
    <t>26 Aug 2025</t>
  </si>
  <si>
    <t>08/09/2025</t>
  </si>
  <si>
    <t>₹293,518.03</t>
  </si>
  <si>
    <t>TRANSFERRED</t>
  </si>
  <si>
    <t>86</t>
  </si>
  <si>
    <t>28/02/2025</t>
  </si>
  <si>
    <t>18/03/2025</t>
  </si>
  <si>
    <t>114030.49</t>
  </si>
  <si>
    <t>2025-02-13</t>
  </si>
  <si>
    <t>02-22-2025 00:00</t>
  </si>
  <si>
    <t>66855.98</t>
  </si>
  <si>
    <t>ananya nair</t>
  </si>
  <si>
    <t>21 Aug 2025</t>
  </si>
  <si>
    <t>28 Aug 2025</t>
  </si>
  <si>
    <t>266163.47</t>
  </si>
  <si>
    <t>2025-09-12</t>
  </si>
  <si>
    <t>INR 306146.29</t>
  </si>
  <si>
    <t>38 yrs</t>
  </si>
  <si>
    <t>12/12/2025</t>
  </si>
  <si>
    <t>165780.85</t>
  </si>
  <si>
    <t>PAT-126</t>
  </si>
  <si>
    <t>15 Mar 2025</t>
  </si>
  <si>
    <t>22 Mar 2025</t>
  </si>
  <si>
    <t>₹293,503.23</t>
  </si>
  <si>
    <t>28693.03</t>
  </si>
  <si>
    <t xml:space="preserve">  Sneha Kumar  </t>
  </si>
  <si>
    <t>60 yrs</t>
  </si>
  <si>
    <t>2025-03-08</t>
  </si>
  <si>
    <t>2025-03-10</t>
  </si>
  <si>
    <t>₹28,640.64</t>
  </si>
  <si>
    <t>2025-06-12</t>
  </si>
  <si>
    <t>₹234,760.29</t>
  </si>
  <si>
    <t>2025-05-29</t>
  </si>
  <si>
    <t>INR 106499.26</t>
  </si>
  <si>
    <t>10-08-2025 00:00</t>
  </si>
  <si>
    <t>₹218,046.64</t>
  </si>
  <si>
    <t>69</t>
  </si>
  <si>
    <t>20/04/2025</t>
  </si>
  <si>
    <t>05-08-2025 00:00</t>
  </si>
  <si>
    <t>2025-02-22</t>
  </si>
  <si>
    <t>213386.28</t>
  </si>
  <si>
    <t>04-25-2025 00:00</t>
  </si>
  <si>
    <t>07/05/2025</t>
  </si>
  <si>
    <t>155616.21</t>
  </si>
  <si>
    <t>diya verma</t>
  </si>
  <si>
    <t>68</t>
  </si>
  <si>
    <t>22 Feb 2025</t>
  </si>
  <si>
    <t>05 Mar 2025</t>
  </si>
  <si>
    <t>114914.67</t>
  </si>
  <si>
    <t>05/09/2025</t>
  </si>
  <si>
    <t>INR 167818.16</t>
  </si>
  <si>
    <t>02/02/2025</t>
  </si>
  <si>
    <t>dengue fever with thrombocytopenia</t>
  </si>
  <si>
    <t>₹47,432.59</t>
  </si>
  <si>
    <t>06-28-2025 00:00</t>
  </si>
  <si>
    <t>344782.51</t>
  </si>
  <si>
    <t>PARACENTESIS &amp; DIURETICS</t>
  </si>
  <si>
    <t>110914.54</t>
  </si>
  <si>
    <t>04-22-2025 00:00</t>
  </si>
  <si>
    <t>235154.38</t>
  </si>
  <si>
    <t>2025-04-17</t>
  </si>
  <si>
    <t>161347.78</t>
  </si>
  <si>
    <t>amit verma</t>
  </si>
  <si>
    <t>01-03-2025 00:00</t>
  </si>
  <si>
    <t>2025-01-05</t>
  </si>
  <si>
    <t>138047.97</t>
  </si>
  <si>
    <t>P. N. Renjen</t>
  </si>
  <si>
    <t>2025-07-15</t>
  </si>
  <si>
    <t>₹307,451.11</t>
  </si>
  <si>
    <t>11-30-2025 00:00</t>
  </si>
  <si>
    <t>34509.77</t>
  </si>
  <si>
    <t>Rajesh_Reddy</t>
  </si>
  <si>
    <t>11/04/2025</t>
  </si>
  <si>
    <t>INR 335846.84</t>
  </si>
  <si>
    <t>PAT-109</t>
  </si>
  <si>
    <t>01-29-2025 00:00</t>
  </si>
  <si>
    <t>221324.78</t>
  </si>
  <si>
    <t>16 Dec 2025</t>
  </si>
  <si>
    <t>acute ischemic stroke</t>
  </si>
  <si>
    <t>PAT-140</t>
  </si>
  <si>
    <t>12-05-2025 00:00</t>
  </si>
  <si>
    <t>ANGIOPLASTY</t>
  </si>
  <si>
    <t>337690.34</t>
  </si>
  <si>
    <t>2025-12-16</t>
  </si>
  <si>
    <t>21 Dec 2025</t>
  </si>
  <si>
    <t>₹81,267.36</t>
  </si>
  <si>
    <t>197038.65</t>
  </si>
  <si>
    <t>68996.85</t>
  </si>
  <si>
    <t>34</t>
  </si>
  <si>
    <t>20/03/2025</t>
  </si>
  <si>
    <t>53213.08</t>
  </si>
  <si>
    <t>09-04-2025 00:00</t>
  </si>
  <si>
    <t>20/09/2025</t>
  </si>
  <si>
    <t>280669.32</t>
  </si>
  <si>
    <t>260700.39</t>
  </si>
  <si>
    <t>2025-07-11</t>
  </si>
  <si>
    <t>270122.58</t>
  </si>
  <si>
    <t>24/02/2025</t>
  </si>
  <si>
    <t>57284.61</t>
  </si>
  <si>
    <t>04/08/2025</t>
  </si>
  <si>
    <t>08-17-2025 00:00</t>
  </si>
  <si>
    <t>₹249,634.54</t>
  </si>
  <si>
    <t>INR 256236.26</t>
  </si>
  <si>
    <t>16 Mar 2025</t>
  </si>
  <si>
    <t>03-25-2025 00:00</t>
  </si>
  <si>
    <t>201132.98</t>
  </si>
  <si>
    <t>2025-03-17</t>
  </si>
  <si>
    <t>185996.43</t>
  </si>
  <si>
    <t>₹215,957.52</t>
  </si>
  <si>
    <t>12-11-2025 00:00</t>
  </si>
  <si>
    <t>222845.48</t>
  </si>
  <si>
    <t>2025-12-11</t>
  </si>
  <si>
    <t>263822.09</t>
  </si>
  <si>
    <t>104636.58</t>
  </si>
  <si>
    <t xml:space="preserve">  Meera Mehta  </t>
  </si>
  <si>
    <t>20/08/2025</t>
  </si>
  <si>
    <t>24/08/2025</t>
  </si>
  <si>
    <t>₹28,616.08</t>
  </si>
  <si>
    <t>Sunita_Joshi</t>
  </si>
  <si>
    <t>2025-10-14</t>
  </si>
  <si>
    <t>2025-10-27</t>
  </si>
  <si>
    <t>₹213,497.15</t>
  </si>
  <si>
    <t>2025-06-11</t>
  </si>
  <si>
    <t>999</t>
  </si>
  <si>
    <t>Devi Shetty</t>
  </si>
  <si>
    <t>29/05/2025</t>
  </si>
  <si>
    <t>300360.06</t>
  </si>
  <si>
    <t>125286.57</t>
  </si>
  <si>
    <t>2025-07-06</t>
  </si>
  <si>
    <t>-209549.57</t>
  </si>
  <si>
    <t xml:space="preserve">  Ritu Verma  </t>
  </si>
  <si>
    <t>2025-08-03</t>
  </si>
  <si>
    <t>-186594.85</t>
  </si>
  <si>
    <t>2025-11-22</t>
  </si>
  <si>
    <t>28 Nov 2025</t>
  </si>
  <si>
    <t>150874.89</t>
  </si>
  <si>
    <t>07-01-2025 00:00</t>
  </si>
  <si>
    <t>07/07/2025</t>
  </si>
  <si>
    <t>161842.22</t>
  </si>
  <si>
    <t>04 Jul 2025</t>
  </si>
  <si>
    <t>anita mehta</t>
  </si>
  <si>
    <t>11 Jan 2025</t>
  </si>
  <si>
    <t>21/01/2025</t>
  </si>
  <si>
    <t>208374.36</t>
  </si>
  <si>
    <t>Ashok Seth</t>
  </si>
  <si>
    <t>14/03/2025</t>
  </si>
  <si>
    <t>01/04/2025</t>
  </si>
  <si>
    <t>76422.86</t>
  </si>
  <si>
    <t>2025-08-01</t>
  </si>
  <si>
    <t>215647.84</t>
  </si>
  <si>
    <t>06/02/2025</t>
  </si>
  <si>
    <t>₹239,781.71</t>
  </si>
  <si>
    <t>17/01/2025</t>
  </si>
  <si>
    <t>92369.02</t>
  </si>
  <si>
    <t>33 yrs</t>
  </si>
  <si>
    <t>2025-04-03</t>
  </si>
  <si>
    <t>04-08-2025 00:00</t>
  </si>
  <si>
    <t>₹273,508.17</t>
  </si>
  <si>
    <t>159154.77</t>
  </si>
  <si>
    <t>22 Jun 2025</t>
  </si>
  <si>
    <t>137168.86</t>
  </si>
  <si>
    <t>dr. subhash gupta</t>
  </si>
  <si>
    <t>2025-01-27</t>
  </si>
  <si>
    <t>2025-02-11</t>
  </si>
  <si>
    <t>-234724.28</t>
  </si>
  <si>
    <t>₹330,025.55</t>
  </si>
  <si>
    <t>04-28-2025 00:00</t>
  </si>
  <si>
    <t>276343.26</t>
  </si>
  <si>
    <t>16/06/2025</t>
  </si>
  <si>
    <t>121793.68</t>
  </si>
  <si>
    <t>02 Sep 2025</t>
  </si>
  <si>
    <t>09-14-2025 00:00</t>
  </si>
  <si>
    <t>2025-06-02</t>
  </si>
  <si>
    <t>2025-06-09</t>
  </si>
  <si>
    <t>35097.68</t>
  </si>
  <si>
    <t>bangalore</t>
  </si>
  <si>
    <t>17 May 2025</t>
  </si>
  <si>
    <t>₹138,020.31</t>
  </si>
  <si>
    <t>2025-10-02</t>
  </si>
  <si>
    <t>18/10/2025</t>
  </si>
  <si>
    <t>346942.33</t>
  </si>
  <si>
    <t>-91922.24</t>
  </si>
  <si>
    <t>48 yrs</t>
  </si>
  <si>
    <t>23/10/2025</t>
  </si>
  <si>
    <t>04/11/2025</t>
  </si>
  <si>
    <t>01-22-2025 00:00</t>
  </si>
  <si>
    <t>02-03-2025 00:00</t>
  </si>
  <si>
    <t>INR 320413.53</t>
  </si>
  <si>
    <t xml:space="preserve">  Pooja Reddy  </t>
  </si>
  <si>
    <t>-72</t>
  </si>
  <si>
    <t>03-03-2025 00:00</t>
  </si>
  <si>
    <t>342444.11</t>
  </si>
  <si>
    <t>Sushil Razdan</t>
  </si>
  <si>
    <t>12 Sep 2025</t>
  </si>
  <si>
    <t>09-19-2025 00:00</t>
  </si>
  <si>
    <t>320265.67</t>
  </si>
  <si>
    <t>08-11-2025 00:00</t>
  </si>
  <si>
    <t>269352.28</t>
  </si>
  <si>
    <t>10 Jun 2025</t>
  </si>
  <si>
    <t>2025-06-28</t>
  </si>
  <si>
    <t>breast carcinoma</t>
  </si>
  <si>
    <t>₹197,586.65</t>
  </si>
  <si>
    <t>-5</t>
  </si>
  <si>
    <t>GASTROENTEROLOGY</t>
  </si>
  <si>
    <t>02/07/2025</t>
  </si>
  <si>
    <t>2025-07-05</t>
  </si>
  <si>
    <t>87118.18</t>
  </si>
  <si>
    <t>08 Nov 2025</t>
  </si>
  <si>
    <t>2025-11-14</t>
  </si>
  <si>
    <t>heart failure</t>
  </si>
  <si>
    <t>INR 173699.35</t>
  </si>
  <si>
    <t>06-12-2025 00:00</t>
  </si>
  <si>
    <t>15/06/2025</t>
  </si>
  <si>
    <t>183816.01</t>
  </si>
  <si>
    <t>12/08/2025</t>
  </si>
  <si>
    <t>43425.63</t>
  </si>
  <si>
    <t>11-06-2025 00:00</t>
  </si>
  <si>
    <t>19 Nov 2025</t>
  </si>
  <si>
    <t>282262.06</t>
  </si>
  <si>
    <t>02-11-2025 00:00</t>
  </si>
  <si>
    <t>270260.97</t>
  </si>
  <si>
    <t>31 Jan 2025</t>
  </si>
  <si>
    <t>292075.46</t>
  </si>
  <si>
    <t>09-18-2025 00:00</t>
  </si>
  <si>
    <t>2025-09-25</t>
  </si>
  <si>
    <t>329740.81</t>
  </si>
  <si>
    <t>272662.94</t>
  </si>
  <si>
    <t>01-27-2025 00:00</t>
  </si>
  <si>
    <t>179644.78</t>
  </si>
  <si>
    <t>05/02/2025</t>
  </si>
  <si>
    <t>COLECTOMY</t>
  </si>
  <si>
    <t>INR 73899.32</t>
  </si>
  <si>
    <t>19/09/2025</t>
  </si>
  <si>
    <t>260952.41</t>
  </si>
  <si>
    <t>09-22-2025 00:00</t>
  </si>
  <si>
    <t>2025-10-06</t>
  </si>
  <si>
    <t>207466.81</t>
  </si>
  <si>
    <t>95338.0</t>
  </si>
  <si>
    <t>2025-06-30</t>
  </si>
  <si>
    <t>08/07/2025</t>
  </si>
  <si>
    <t>14889.03</t>
  </si>
  <si>
    <t>09-30-2025 00:00</t>
  </si>
  <si>
    <t>349492.38</t>
  </si>
  <si>
    <t xml:space="preserve">  Pooja Bose  </t>
  </si>
  <si>
    <t>243735.89</t>
  </si>
  <si>
    <t>02/03/2025</t>
  </si>
  <si>
    <t>27887.8</t>
  </si>
  <si>
    <t>2025-12-10</t>
  </si>
  <si>
    <t>rotator cuff tear</t>
  </si>
  <si>
    <t>207167.51</t>
  </si>
  <si>
    <t>08 Jul 2025</t>
  </si>
  <si>
    <t>160039.89</t>
  </si>
  <si>
    <t>Rajesh_Singh</t>
  </si>
  <si>
    <t>17/07/2025</t>
  </si>
  <si>
    <t>333754.68</t>
  </si>
  <si>
    <t>06 Nov 2025</t>
  </si>
  <si>
    <t>65658.62</t>
  </si>
  <si>
    <t>12-04-2025 00:00</t>
  </si>
  <si>
    <t>liver cirrhosis</t>
  </si>
  <si>
    <t>₹100,093.93</t>
  </si>
  <si>
    <t>04-10-2025 00:00</t>
  </si>
  <si>
    <t>17 Apr 2025</t>
  </si>
  <si>
    <t>INR 251416.32</t>
  </si>
  <si>
    <t xml:space="preserve">  Pooja Singh  </t>
  </si>
  <si>
    <t>2025-06-27</t>
  </si>
  <si>
    <t>267165.83</t>
  </si>
  <si>
    <t xml:space="preserve">  Aditya Singh  </t>
  </si>
  <si>
    <t>chennai</t>
  </si>
  <si>
    <t>Subhash Gupta</t>
  </si>
  <si>
    <t>09/09/2025</t>
  </si>
  <si>
    <t>23/09/2025</t>
  </si>
  <si>
    <t>288098.34</t>
  </si>
  <si>
    <t>07-22-2025 00:00</t>
  </si>
  <si>
    <t>29/07/2025</t>
  </si>
  <si>
    <t>₹154,000.01</t>
  </si>
  <si>
    <t xml:space="preserve">  Aditya Joshi  </t>
  </si>
  <si>
    <t>dr. sks marya</t>
  </si>
  <si>
    <t>16 Feb 2025</t>
  </si>
  <si>
    <t>28856.82</t>
  </si>
  <si>
    <t>04-29-2025 00:00</t>
  </si>
  <si>
    <t>302163.73</t>
  </si>
  <si>
    <t>24847.62</t>
  </si>
  <si>
    <t>24</t>
  </si>
  <si>
    <t>22/11/2025</t>
  </si>
  <si>
    <t>30 Nov 2025</t>
  </si>
  <si>
    <t>colorectal cancer</t>
  </si>
  <si>
    <t>75690.77</t>
  </si>
  <si>
    <t>2025-12-26</t>
  </si>
  <si>
    <t>2026-01-09</t>
  </si>
  <si>
    <t>292142.3</t>
  </si>
  <si>
    <t>56</t>
  </si>
  <si>
    <t>2025-11-16</t>
  </si>
  <si>
    <t>218516.52</t>
  </si>
  <si>
    <t>08 May 2025</t>
  </si>
  <si>
    <t>2025-05-22</t>
  </si>
  <si>
    <t>169398.15</t>
  </si>
  <si>
    <t>04/10/2025</t>
  </si>
  <si>
    <t>267621.0</t>
  </si>
  <si>
    <t>29 Apr 2025</t>
  </si>
  <si>
    <t>₹234,451.00</t>
  </si>
  <si>
    <t>65515.33</t>
  </si>
  <si>
    <t>20 Feb 2025</t>
  </si>
  <si>
    <t>myocardial infarction</t>
  </si>
  <si>
    <t>11310.31</t>
  </si>
  <si>
    <t>sunita joshi</t>
  </si>
  <si>
    <t>04-16-2025 00:00</t>
  </si>
  <si>
    <t>187210.96</t>
  </si>
  <si>
    <t>13/09/2025</t>
  </si>
  <si>
    <t>70627.63</t>
  </si>
  <si>
    <t>2025-08-18</t>
  </si>
  <si>
    <t>26/08/2025</t>
  </si>
  <si>
    <t>219686.66</t>
  </si>
  <si>
    <t>2025-08-26</t>
  </si>
  <si>
    <t>08-24-2025 00:00</t>
  </si>
  <si>
    <t>₹213,585.33</t>
  </si>
  <si>
    <t>12 Jul 2025</t>
  </si>
  <si>
    <t>239670.57</t>
  </si>
  <si>
    <t>27/06/2025</t>
  </si>
  <si>
    <t>INR 328188.99</t>
  </si>
  <si>
    <t>176910.39</t>
  </si>
  <si>
    <t>2025-06-23</t>
  </si>
  <si>
    <t>142933.82</t>
  </si>
  <si>
    <t>06-09-2025 00:00</t>
  </si>
  <si>
    <t>2025-10-24</t>
  </si>
  <si>
    <t>26/10/2025</t>
  </si>
  <si>
    <t>149246.6</t>
  </si>
  <si>
    <t>06-16-2025 00:00</t>
  </si>
  <si>
    <t>01 Jul 2025</t>
  </si>
  <si>
    <t>166270.86</t>
  </si>
  <si>
    <t>2025-08-22</t>
  </si>
  <si>
    <t>INR 255209.04</t>
  </si>
  <si>
    <t>03-26-2025 00:00</t>
  </si>
  <si>
    <t>176620.05</t>
  </si>
  <si>
    <t>INR 100750.51</t>
  </si>
  <si>
    <t>2025-09-20</t>
  </si>
  <si>
    <t>2025-09-26</t>
  </si>
  <si>
    <t>168972.32</t>
  </si>
  <si>
    <t>04/02/2025</t>
  </si>
  <si>
    <t>153334.02</t>
  </si>
  <si>
    <t>16/02/2025</t>
  </si>
  <si>
    <t>20 Jun 2025</t>
  </si>
  <si>
    <t>273053.57</t>
  </si>
  <si>
    <t>22 May 2025</t>
  </si>
  <si>
    <t>42562.48</t>
  </si>
  <si>
    <t>-56</t>
  </si>
  <si>
    <t>20 Jan 2025</t>
  </si>
  <si>
    <t>₹273,509.91</t>
  </si>
  <si>
    <t>08-28-2025 00:00</t>
  </si>
  <si>
    <t>INR 202091.6</t>
  </si>
  <si>
    <t>06/07/2025</t>
  </si>
  <si>
    <t>15445.5</t>
  </si>
  <si>
    <t>2025-01-16</t>
  </si>
  <si>
    <t>229227.12</t>
  </si>
  <si>
    <t>26/05/2025</t>
  </si>
  <si>
    <t>2025-06-08</t>
  </si>
  <si>
    <t>92715.25</t>
  </si>
  <si>
    <t>Aditya_Patel</t>
  </si>
  <si>
    <t>26/01/2025</t>
  </si>
  <si>
    <t>10/02/2025</t>
  </si>
  <si>
    <t>39164.58</t>
  </si>
  <si>
    <t>256933.8</t>
  </si>
  <si>
    <t>-75</t>
  </si>
  <si>
    <t>2025-08-05</t>
  </si>
  <si>
    <t>236941.7</t>
  </si>
  <si>
    <t>08-14-2025 00:00</t>
  </si>
  <si>
    <t>192793.17</t>
  </si>
  <si>
    <t>2025-08-28</t>
  </si>
  <si>
    <t>266992.5</t>
  </si>
  <si>
    <t>10/05/2025</t>
  </si>
  <si>
    <t>25 May 2025</t>
  </si>
  <si>
    <t>210266.08</t>
  </si>
  <si>
    <t>2025-11-24</t>
  </si>
  <si>
    <t>45237.98</t>
  </si>
  <si>
    <t xml:space="preserve">  Suresh Patel  </t>
  </si>
  <si>
    <t>26 Dec 2025</t>
  </si>
  <si>
    <t>01-12-2026 00:00</t>
  </si>
  <si>
    <t>₹286,366.02</t>
  </si>
  <si>
    <t xml:space="preserve">  Kavita Verma  </t>
  </si>
  <si>
    <t>02/11/2025</t>
  </si>
  <si>
    <t>321069.3</t>
  </si>
  <si>
    <t>09-26-2025 00:00</t>
  </si>
  <si>
    <t>284124.01</t>
  </si>
  <si>
    <t>13/11/2025</t>
  </si>
  <si>
    <t>205456.56</t>
  </si>
  <si>
    <t xml:space="preserve">  Diya Verma  </t>
  </si>
  <si>
    <t>24 Jan 2025</t>
  </si>
  <si>
    <t>02-02-2025 00:00</t>
  </si>
  <si>
    <t>IV LABETALOL</t>
  </si>
  <si>
    <t>220121.52</t>
  </si>
  <si>
    <t>meera nair</t>
  </si>
  <si>
    <t>01-18-2025 00:00</t>
  </si>
  <si>
    <t>45668.1</t>
  </si>
  <si>
    <t>2025-01-12</t>
  </si>
  <si>
    <t>26 Jan 2025</t>
  </si>
  <si>
    <t>274018.16</t>
  </si>
  <si>
    <t>15/02/2025</t>
  </si>
  <si>
    <t>2025-02-17</t>
  </si>
  <si>
    <t>258752.78</t>
  </si>
  <si>
    <t>27 Nov 2025</t>
  </si>
  <si>
    <t>331071.07</t>
  </si>
  <si>
    <t>19/08/2025</t>
  </si>
  <si>
    <t>98132.13</t>
  </si>
  <si>
    <t>23 Aug 2025</t>
  </si>
  <si>
    <t>01/09/2025</t>
  </si>
  <si>
    <t>-251314.05</t>
  </si>
  <si>
    <t>27/11/2025</t>
  </si>
  <si>
    <t>INR 306515.15</t>
  </si>
  <si>
    <t>2025-03-22</t>
  </si>
  <si>
    <t>2025-04-09</t>
  </si>
  <si>
    <t>269120.04</t>
  </si>
  <si>
    <t>27/08/2025</t>
  </si>
  <si>
    <t>147820.29</t>
  </si>
  <si>
    <t>PAT-144</t>
  </si>
  <si>
    <t>09-08-2025 00:00</t>
  </si>
  <si>
    <t>lymphoma</t>
  </si>
  <si>
    <t>310729.95</t>
  </si>
  <si>
    <t>10/11/2025</t>
  </si>
  <si>
    <t>INR 174458.85</t>
  </si>
  <si>
    <t>PAT-114</t>
  </si>
  <si>
    <t>316907.76</t>
  </si>
  <si>
    <t>01 Oct 2025</t>
  </si>
  <si>
    <t>142969.68</t>
  </si>
  <si>
    <t>24/11/2025</t>
  </si>
  <si>
    <t>11-27-2025 00:00</t>
  </si>
  <si>
    <t>319510.84</t>
  </si>
  <si>
    <t>06 Jan 2025</t>
  </si>
  <si>
    <t>2025-01-20</t>
  </si>
  <si>
    <t>INR 200127.72</t>
  </si>
  <si>
    <t xml:space="preserve">  Manoj Sharma  </t>
  </si>
  <si>
    <t>dr. ramneek mahajan</t>
  </si>
  <si>
    <t>165777.6</t>
  </si>
  <si>
    <t>04-09-2025 00:00</t>
  </si>
  <si>
    <t>190444.94</t>
  </si>
  <si>
    <t>107567.59</t>
  </si>
  <si>
    <t>INR 281407.66</t>
  </si>
  <si>
    <t>09 Sep 2025</t>
  </si>
  <si>
    <t xml:space="preserve">  Sneha Gupta  </t>
  </si>
  <si>
    <t>INR 174532.25</t>
  </si>
  <si>
    <t>-47</t>
  </si>
  <si>
    <t>06/03/2025</t>
  </si>
  <si>
    <t>72763.16</t>
  </si>
  <si>
    <t>177051.77</t>
  </si>
  <si>
    <t>08/10/2025</t>
  </si>
  <si>
    <t>51762.55</t>
  </si>
  <si>
    <t>-64</t>
  </si>
  <si>
    <t>₹172,653.26</t>
  </si>
  <si>
    <t>10-13-2025 00:00</t>
  </si>
  <si>
    <t>26 Oct 2025</t>
  </si>
  <si>
    <t>221457.33</t>
  </si>
  <si>
    <t>2025-08-08</t>
  </si>
  <si>
    <t>INR 144237.31</t>
  </si>
  <si>
    <t>12/07/2025</t>
  </si>
  <si>
    <t>154474.9</t>
  </si>
  <si>
    <t>13/10/2025</t>
  </si>
  <si>
    <t>-271072.07</t>
  </si>
  <si>
    <t>26 Apr 2025</t>
  </si>
  <si>
    <t>14/05/2025</t>
  </si>
  <si>
    <t>218396.94</t>
  </si>
  <si>
    <t>30 Aug 2025</t>
  </si>
  <si>
    <t>2025-09-11</t>
  </si>
  <si>
    <t>47767.94</t>
  </si>
  <si>
    <t>29/03/2025</t>
  </si>
  <si>
    <t>04 Apr 2025</t>
  </si>
  <si>
    <t>42917.92</t>
  </si>
  <si>
    <t>18/01/2025</t>
  </si>
  <si>
    <t>2025-02-02</t>
  </si>
  <si>
    <t>276405.78</t>
  </si>
  <si>
    <t>INR 270242.33</t>
  </si>
  <si>
    <t>2025-10-03</t>
  </si>
  <si>
    <t>2025-10-15</t>
  </si>
  <si>
    <t>243996.75</t>
  </si>
  <si>
    <t>PAT-143</t>
  </si>
  <si>
    <t>27887.2</t>
  </si>
  <si>
    <t>94685.56</t>
  </si>
  <si>
    <t>2025-03-02</t>
  </si>
  <si>
    <t>297160.62</t>
  </si>
  <si>
    <t>2025-07-28</t>
  </si>
  <si>
    <t>2025-08-12</t>
  </si>
  <si>
    <t>226360.94</t>
  </si>
  <si>
    <t>09/11/2025</t>
  </si>
  <si>
    <t>67171.45</t>
  </si>
  <si>
    <t>269392.61</t>
  </si>
  <si>
    <t>12 Nov 2025</t>
  </si>
  <si>
    <t>16 Nov 2025</t>
  </si>
  <si>
    <t>58427.63</t>
  </si>
  <si>
    <t>2025-12-17</t>
  </si>
  <si>
    <t>231726.06</t>
  </si>
  <si>
    <t>30 Mar 2025</t>
  </si>
  <si>
    <t>-32263.04</t>
  </si>
  <si>
    <t>2025-02-23</t>
  </si>
  <si>
    <t>330944.7</t>
  </si>
  <si>
    <t>07-17-2025 00:00</t>
  </si>
  <si>
    <t>24/07/2025</t>
  </si>
  <si>
    <t>₹81,737.71</t>
  </si>
  <si>
    <t>19/06/2025</t>
  </si>
  <si>
    <t>15338.44</t>
  </si>
  <si>
    <t>2025-02-08</t>
  </si>
  <si>
    <t>2025-02-21</t>
  </si>
  <si>
    <t>301563.46</t>
  </si>
  <si>
    <t>03 Oct 2025</t>
  </si>
  <si>
    <t>266848.95</t>
  </si>
  <si>
    <t>PAT-141</t>
  </si>
  <si>
    <t>-349245.8</t>
  </si>
  <si>
    <t>06-25-2025 00:00</t>
  </si>
  <si>
    <t>61183.79</t>
  </si>
  <si>
    <t>INR 257045.17</t>
  </si>
  <si>
    <t>10-04-2025 00:00</t>
  </si>
  <si>
    <t>21/10/2025</t>
  </si>
  <si>
    <t>113667.33</t>
  </si>
  <si>
    <t>327664.96</t>
  </si>
  <si>
    <t>INR 14412.2</t>
  </si>
  <si>
    <t>206432.71</t>
  </si>
  <si>
    <t>2025-05-04</t>
  </si>
  <si>
    <t>15/05/2025</t>
  </si>
  <si>
    <t>-115728.64</t>
  </si>
  <si>
    <t>2025-02-07</t>
  </si>
  <si>
    <t>222821.85</t>
  </si>
  <si>
    <t>68567.04</t>
  </si>
  <si>
    <t>21 Feb 2025</t>
  </si>
  <si>
    <t>23/02/2025</t>
  </si>
  <si>
    <t>245988.96</t>
  </si>
  <si>
    <t>50 yrs</t>
  </si>
  <si>
    <t>26/06/2025</t>
  </si>
  <si>
    <t>75111.69</t>
  </si>
  <si>
    <t>19/04/2025</t>
  </si>
  <si>
    <t>180878.3</t>
  </si>
  <si>
    <t>2025-04-06</t>
  </si>
  <si>
    <t>₹68,817.20</t>
  </si>
  <si>
    <t>05-31-2025 00:00</t>
  </si>
  <si>
    <t>06-07-2025 00:00</t>
  </si>
  <si>
    <t>349212.27</t>
  </si>
  <si>
    <t>229226.77</t>
  </si>
  <si>
    <t>2025-02-01</t>
  </si>
  <si>
    <t>183161.99</t>
  </si>
  <si>
    <t>08/04/2025</t>
  </si>
  <si>
    <t>24/04/2025</t>
  </si>
  <si>
    <t>129525.51</t>
  </si>
  <si>
    <t>2025-02-10</t>
  </si>
  <si>
    <t>₹174,036.30</t>
  </si>
  <si>
    <t>10 Dec 2025</t>
  </si>
  <si>
    <t>11/12/2025</t>
  </si>
  <si>
    <t>21364.73</t>
  </si>
  <si>
    <t>25 Jul 2025</t>
  </si>
  <si>
    <t>318228.0</t>
  </si>
  <si>
    <t>01 Feb 2025</t>
  </si>
  <si>
    <t>18/02/2025</t>
  </si>
  <si>
    <t>344496.24</t>
  </si>
  <si>
    <t>2025-12-20</t>
  </si>
  <si>
    <t>12-29-2025 00:00</t>
  </si>
  <si>
    <t>179146.94</t>
  </si>
  <si>
    <t>07-08-2025 00:00</t>
  </si>
  <si>
    <t>346234.73</t>
  </si>
  <si>
    <t>PID_1467</t>
  </si>
  <si>
    <t xml:space="preserve">  Vihaan Verma  </t>
  </si>
  <si>
    <t>-228488.28</t>
  </si>
  <si>
    <t>58 yrs</t>
  </si>
  <si>
    <t>29 Jan 2025</t>
  </si>
  <si>
    <t>284470.31</t>
  </si>
  <si>
    <t>2025-12-07</t>
  </si>
  <si>
    <t>291337.67</t>
  </si>
  <si>
    <t>53 yrs</t>
  </si>
  <si>
    <t>19 Sep 2025</t>
  </si>
  <si>
    <t>315860.1</t>
  </si>
  <si>
    <t>PAT-122</t>
  </si>
  <si>
    <t>2025-11-25</t>
  </si>
  <si>
    <t>EXPIRED</t>
  </si>
  <si>
    <t>₹12,286.13</t>
  </si>
  <si>
    <t>05-03-2025 00:00</t>
  </si>
  <si>
    <t>05-06-2025 00:00</t>
  </si>
  <si>
    <t>81893.21</t>
  </si>
  <si>
    <t>08-18-2025 00:00</t>
  </si>
  <si>
    <t>06 Feb 2025</t>
  </si>
  <si>
    <t>15667.1</t>
  </si>
  <si>
    <t>10-26-2025 00:00</t>
  </si>
  <si>
    <t>2025-11-13</t>
  </si>
  <si>
    <t>32457.05</t>
  </si>
  <si>
    <t>328190.71</t>
  </si>
  <si>
    <t>-16</t>
  </si>
  <si>
    <t>11-01-2025 00:00</t>
  </si>
  <si>
    <t>102588.38</t>
  </si>
  <si>
    <t>243594.27</t>
  </si>
  <si>
    <t xml:space="preserve">  Neha Iyer  </t>
  </si>
  <si>
    <t>02 Aug 2025</t>
  </si>
  <si>
    <t>₹261,994.94</t>
  </si>
  <si>
    <t>2025-07-02</t>
  </si>
  <si>
    <t>80052.56</t>
  </si>
  <si>
    <t>PAT-121</t>
  </si>
  <si>
    <t xml:space="preserve">  Rohan Mehta  </t>
  </si>
  <si>
    <t>03-31-2025 00:00</t>
  </si>
  <si>
    <t>256542.3</t>
  </si>
  <si>
    <t>2025-11-28</t>
  </si>
  <si>
    <t>285895.32</t>
  </si>
  <si>
    <t xml:space="preserve">  Suresh Nair  </t>
  </si>
  <si>
    <t>12-14-2025 00:00</t>
  </si>
  <si>
    <t>222973.23</t>
  </si>
  <si>
    <t>20/11/2025</t>
  </si>
  <si>
    <t>INR 118716.9</t>
  </si>
  <si>
    <t>2025-12-06</t>
  </si>
  <si>
    <t>INR 308187.66</t>
  </si>
  <si>
    <t>316292.25</t>
  </si>
  <si>
    <t>19 Jan 2025</t>
  </si>
  <si>
    <t>138512.87</t>
  </si>
  <si>
    <t>22 yrs</t>
  </si>
  <si>
    <t>10-31-2025 00:00</t>
  </si>
  <si>
    <t>₹238,186.54</t>
  </si>
  <si>
    <t>PAT-132</t>
  </si>
  <si>
    <t>06 Jul 2025</t>
  </si>
  <si>
    <t>164538.67</t>
  </si>
  <si>
    <t>2025-07-16</t>
  </si>
  <si>
    <t>265719.4</t>
  </si>
  <si>
    <t>INR 189134.85</t>
  </si>
  <si>
    <t>dr. veena kalra</t>
  </si>
  <si>
    <t>18 Feb 2025</t>
  </si>
  <si>
    <t>2025-02-24</t>
  </si>
  <si>
    <t>₹5,470.34</t>
  </si>
  <si>
    <t>-153231.05</t>
  </si>
  <si>
    <t>08/05/2025</t>
  </si>
  <si>
    <t>298327.54</t>
  </si>
  <si>
    <t>ENDOSCOPIC BANDING</t>
  </si>
  <si>
    <t>64061.41</t>
  </si>
  <si>
    <t>Aarav_Bose</t>
  </si>
  <si>
    <t>08-29-2025 00:00</t>
  </si>
  <si>
    <t>03 Sep 2025</t>
  </si>
  <si>
    <t>₹156,597.58</t>
  </si>
  <si>
    <t>2025-10-28</t>
  </si>
  <si>
    <t>314197.02</t>
  </si>
  <si>
    <t>308766.91</t>
  </si>
  <si>
    <t>2025-08-09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</si>
</sst>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Red]\-\₹#,##0.00"/>
    <numFmt numFmtId="165" formatCode="\₹#,##0.00"/>
  </numFmts>
  <fonts count="8" x14ac:knownFonts="1">
    <font>
      <sz val="11"/>
      <color theme="1"/>
      <name val="Aptos Narrow"/>
      <family val="2"/>
      <scheme val="minor"/>
    </font>
    <font>
      <sz val="11"/>
      <color theme="1"/>
      <name val="Aptos"/>
    </font>
    <font>
      <b/>
      <sz val="10"/>
      <color rgb="FFFFFFFF"/>
      <name val="Aptos"/>
    </font>
    <font>
      <sz val="10"/>
      <color theme="1"/>
      <name val="Aptos"/>
    </font>
    <font>
      <b/>
      <sz val="18"/>
      <color rgb="FFFFFFFF"/>
      <name val="Aptos"/>
    </font>
    <font>
      <i/>
      <sz val="11"/>
      <color rgb="FF5B6573"/>
      <name val="Aptos"/>
    </font>
    <font>
      <b/>
      <sz val="11"/>
      <color rgb="FF17365D"/>
      <name val="Aptos"/>
    </font>
    <font>
      <b/>
      <sz val="36"/>
      <color rgb="FFFFFFFF"/>
      <name val="Aptos Narrow"/>
      <family val="2"/>
      <scheme val="minor"/>
    </font>
  </fonts>
  <fills count="5">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0B1F33"/>
        <bgColor indexed="64"/>
      </patternFill>
    </fill>
  </fills>
  <borders count="1">
    <border>
      <left/>
      <right/>
      <top/>
      <bottom/>
      <diagonal/>
    </border>
  </borders>
  <cellStyleXfs count="1">
    <xf numFmtId="0" fontId="0" fillId="0" borderId="0"/>
  </cellStyleXfs>
  <cellXfs count="20">
    <xf numFmtId="0" fontId="0" fillId="0" borderId="0" xfId="0"/>
    <xf numFmtId="1" fontId="0" fillId="0" borderId="0" xfId="0" applyNumberFormat="1"/>
    <xf numFmtId="0" fontId="1" fillId="0" borderId="0" xfId="0" applyFont="1"/>
    <xf numFmtId="1" fontId="1" fillId="0" borderId="0" xfId="0" applyNumberFormat="1" applyFont="1"/>
    <xf numFmtId="0" fontId="2" fillId="2" borderId="0" xfId="0" applyFont="1" applyFill="1"/>
    <xf numFmtId="0" fontId="3" fillId="0" borderId="0" xfId="0" applyFont="1" applyAlignment="1">
      <alignment horizontal="center"/>
    </xf>
    <xf numFmtId="1" fontId="3" fillId="0" borderId="0" xfId="0" applyNumberFormat="1" applyFont="1" applyAlignment="1">
      <alignment horizontal="center"/>
    </xf>
    <xf numFmtId="14" fontId="3" fillId="0" borderId="0" xfId="0" applyNumberFormat="1" applyFont="1" applyAlignment="1">
      <alignment horizontal="center"/>
    </xf>
    <xf numFmtId="164" fontId="3" fillId="0" borderId="0" xfId="0" applyNumberFormat="1" applyFont="1" applyAlignment="1">
      <alignment horizontal="center"/>
    </xf>
    <xf numFmtId="0" fontId="0" fillId="0" borderId="0" xfId="0" pivotButton="1"/>
    <xf numFmtId="0" fontId="1" fillId="0" borderId="0" xfId="0" pivotButton="1" applyFont="1"/>
    <xf numFmtId="165" fontId="1" fillId="0" borderId="0" xfId="0" applyNumberFormat="1" applyFont="1"/>
    <xf numFmtId="165" fontId="0" fillId="0" borderId="0" xfId="0" applyNumberFormat="1"/>
    <xf numFmtId="0" fontId="0" fillId="0" borderId="0" xfId="0" applyAlignment="1">
      <alignment horizontal="center"/>
    </xf>
    <xf numFmtId="0" fontId="7" fillId="4" borderId="0" xfId="0" applyFont="1" applyFill="1" applyAlignment="1">
      <alignment horizontal="center" vertical="center"/>
    </xf>
    <xf numFmtId="0" fontId="6" fillId="3" borderId="0" xfId="0" applyFont="1" applyFill="1"/>
    <xf numFmtId="0" fontId="4" fillId="2" borderId="0" xfId="0" applyFont="1" applyFill="1"/>
    <xf numFmtId="0" fontId="5" fillId="0" borderId="0" xfId="0" applyFont="1"/>
    <xf numFmtId="0" fontId="0" fillId="0" borderId="0" xfId="0" applyNumberFormat="1"/>
    <xf numFmtId="0" fontId="1" fillId="0" borderId="0" xfId="0" applyNumberFormat="1" applyFont="1"/>
  </cellXfs>
  <cellStyles count="1">
    <cellStyle name="Normal" xfId="0" builtinId="0"/>
  </cellStyles>
  <dxfs count="299">
    <dxf>
      <numFmt numFmtId="1" formatCode="0"/>
    </dxf>
    <dxf>
      <numFmt numFmtId="1" formatCode="0"/>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numFmt numFmtId="1" formatCode="0"/>
    </dxf>
    <dxf>
      <font>
        <name val="Aptos"/>
      </font>
    </dxf>
    <dxf>
      <font>
        <name val="Aptos"/>
      </font>
    </dxf>
    <dxf>
      <font>
        <name val="Aptos"/>
      </font>
    </dxf>
    <dxf>
      <font>
        <name val="Aptos"/>
      </font>
    </dxf>
    <dxf>
      <font>
        <name val="Aptos"/>
      </font>
    </dxf>
    <dxf>
      <numFmt numFmtId="165" formatCode="\₹#,##0.00"/>
    </dxf>
    <dxf>
      <numFmt numFmtId="1" formatCode="0"/>
    </dxf>
    <dxf>
      <numFmt numFmtId="1" formatCode="0"/>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numFmt numFmtId="1" formatCode="0"/>
    </dxf>
    <dxf>
      <font>
        <name val="Aptos"/>
      </font>
    </dxf>
    <dxf>
      <font>
        <name val="Aptos"/>
      </font>
    </dxf>
    <dxf>
      <font>
        <name val="Aptos"/>
      </font>
    </dxf>
    <dxf>
      <font>
        <name val="Aptos"/>
      </font>
    </dxf>
    <dxf>
      <font>
        <name val="Aptos"/>
      </font>
    </dxf>
    <dxf>
      <numFmt numFmtId="165" formatCode="\₹#,##0.00"/>
    </dxf>
    <dxf>
      <numFmt numFmtId="1" formatCode="0"/>
    </dxf>
    <dxf>
      <numFmt numFmtId="1" formatCode="0"/>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numFmt numFmtId="1" formatCode="0"/>
    </dxf>
    <dxf>
      <font>
        <name val="Aptos"/>
      </font>
    </dxf>
    <dxf>
      <font>
        <name val="Aptos"/>
      </font>
    </dxf>
    <dxf>
      <font>
        <name val="Aptos"/>
      </font>
    </dxf>
    <dxf>
      <font>
        <name val="Aptos"/>
      </font>
    </dxf>
    <dxf>
      <font>
        <name val="Aptos"/>
      </font>
    </dxf>
    <dxf>
      <numFmt numFmtId="165" formatCode="\₹#,##0.00"/>
    </dxf>
    <dxf>
      <numFmt numFmtId="1" formatCode="0"/>
    </dxf>
    <dxf>
      <numFmt numFmtId="1" formatCode="0"/>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numFmt numFmtId="1" formatCode="0"/>
    </dxf>
    <dxf>
      <font>
        <name val="Aptos"/>
      </font>
    </dxf>
    <dxf>
      <font>
        <name val="Aptos"/>
      </font>
    </dxf>
    <dxf>
      <font>
        <name val="Aptos"/>
      </font>
    </dxf>
    <dxf>
      <font>
        <name val="Aptos"/>
      </font>
    </dxf>
    <dxf>
      <font>
        <name val="Aptos"/>
      </font>
    </dxf>
    <dxf>
      <numFmt numFmtId="165" formatCode="\₹#,##0.00"/>
    </dxf>
    <dxf>
      <numFmt numFmtId="1" formatCode="0"/>
    </dxf>
    <dxf>
      <numFmt numFmtId="1" formatCode="0"/>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numFmt numFmtId="1" formatCode="0"/>
    </dxf>
    <dxf>
      <font>
        <name val="Aptos"/>
      </font>
    </dxf>
    <dxf>
      <font>
        <name val="Aptos"/>
      </font>
    </dxf>
    <dxf>
      <font>
        <name val="Aptos"/>
      </font>
    </dxf>
    <dxf>
      <font>
        <name val="Aptos"/>
      </font>
    </dxf>
    <dxf>
      <font>
        <name val="Aptos"/>
      </font>
    </dxf>
    <dxf>
      <numFmt numFmtId="165" formatCode="\₹#,##0.00"/>
    </dxf>
    <dxf>
      <numFmt numFmtId="1" formatCode="0"/>
    </dxf>
    <dxf>
      <numFmt numFmtId="1" formatCode="0"/>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numFmt numFmtId="1" formatCode="0"/>
    </dxf>
    <dxf>
      <font>
        <name val="Aptos"/>
      </font>
    </dxf>
    <dxf>
      <font>
        <name val="Aptos"/>
      </font>
    </dxf>
    <dxf>
      <font>
        <name val="Aptos"/>
      </font>
    </dxf>
    <dxf>
      <font>
        <name val="Aptos"/>
      </font>
    </dxf>
    <dxf>
      <font>
        <name val="Aptos"/>
      </font>
    </dxf>
    <dxf>
      <numFmt numFmtId="165" formatCode="\₹#,##0.00"/>
    </dxf>
    <dxf>
      <numFmt numFmtId="1" formatCode="0"/>
    </dxf>
    <dxf>
      <numFmt numFmtId="1" formatCode="0"/>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numFmt numFmtId="1" formatCode="0"/>
    </dxf>
    <dxf>
      <font>
        <name val="Aptos"/>
      </font>
    </dxf>
    <dxf>
      <font>
        <name val="Aptos"/>
      </font>
    </dxf>
    <dxf>
      <font>
        <name val="Aptos"/>
      </font>
    </dxf>
    <dxf>
      <font>
        <name val="Aptos"/>
      </font>
    </dxf>
    <dxf>
      <font>
        <name val="Aptos"/>
      </font>
    </dxf>
    <dxf>
      <numFmt numFmtId="165" formatCode="\₹#,##0.00"/>
    </dxf>
    <dxf>
      <numFmt numFmtId="1" formatCode="0"/>
    </dxf>
    <dxf>
      <numFmt numFmtId="1" formatCode="0"/>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numFmt numFmtId="1" formatCode="0"/>
    </dxf>
    <dxf>
      <font>
        <name val="Aptos"/>
      </font>
    </dxf>
    <dxf>
      <font>
        <name val="Aptos"/>
      </font>
    </dxf>
    <dxf>
      <font>
        <name val="Aptos"/>
      </font>
    </dxf>
    <dxf>
      <font>
        <name val="Aptos"/>
      </font>
    </dxf>
    <dxf>
      <font>
        <name val="Aptos"/>
      </font>
    </dxf>
    <dxf>
      <numFmt numFmtId="165" formatCode="\₹#,##0.00"/>
    </dxf>
    <dxf>
      <numFmt numFmtId="1" formatCode="0"/>
    </dxf>
    <dxf>
      <numFmt numFmtId="1" formatCode="0"/>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numFmt numFmtId="165" formatCode="\₹#,##0.00"/>
    </dxf>
    <dxf>
      <numFmt numFmtId="1" formatCode="0"/>
    </dxf>
    <dxf>
      <numFmt numFmtId="1" formatCode="0"/>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numFmt numFmtId="1" formatCode="0"/>
    </dxf>
    <dxf>
      <font>
        <name val="Aptos"/>
      </font>
    </dxf>
    <dxf>
      <font>
        <name val="Aptos"/>
      </font>
    </dxf>
    <dxf>
      <font>
        <name val="Aptos"/>
      </font>
    </dxf>
    <dxf>
      <font>
        <name val="Aptos"/>
      </font>
    </dxf>
    <dxf>
      <font>
        <name val="Aptos"/>
      </font>
    </dxf>
    <dxf>
      <numFmt numFmtId="165" formatCode="\₹#,##0.00"/>
    </dxf>
    <dxf>
      <numFmt numFmtId="1" formatCode="0"/>
    </dxf>
    <dxf>
      <numFmt numFmtId="1" formatCode="0"/>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numFmt numFmtId="1" formatCode="0"/>
    </dxf>
    <dxf>
      <font>
        <name val="Aptos"/>
      </font>
    </dxf>
    <dxf>
      <font>
        <name val="Aptos"/>
      </font>
    </dxf>
    <dxf>
      <font>
        <name val="Aptos"/>
      </font>
    </dxf>
    <dxf>
      <font>
        <name val="Aptos"/>
      </font>
    </dxf>
    <dxf>
      <font>
        <name val="Aptos"/>
      </font>
    </dxf>
    <dxf>
      <numFmt numFmtId="165" formatCode="\₹#,##0.00"/>
    </dxf>
    <dxf>
      <numFmt numFmtId="1" formatCode="0"/>
    </dxf>
    <dxf>
      <numFmt numFmtId="1" formatCode="0"/>
    </dxf>
    <dxf>
      <numFmt numFmtId="1" formatCode="0"/>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numFmt numFmtId="165" formatCode="\₹#,##0.00"/>
    </dxf>
    <dxf>
      <numFmt numFmtId="1" formatCode="0"/>
    </dxf>
    <dxf>
      <numFmt numFmtId="1" formatCode="0"/>
    </dxf>
    <dxf>
      <numFmt numFmtId="1" formatCode="0"/>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numFmt numFmtId="1" formatCode="0"/>
    </dxf>
    <dxf>
      <font>
        <name val="Aptos"/>
      </font>
    </dxf>
    <dxf>
      <font>
        <name val="Aptos"/>
      </font>
    </dxf>
    <dxf>
      <font>
        <name val="Aptos"/>
      </font>
    </dxf>
    <dxf>
      <font>
        <name val="Aptos"/>
      </font>
    </dxf>
    <dxf>
      <font>
        <name val="Aptos"/>
      </font>
    </dxf>
    <dxf>
      <numFmt numFmtId="165"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numFmt numFmtId="1" formatCode="0"/>
    </dxf>
    <dxf>
      <numFmt numFmtId="1" formatCode="0"/>
    </dxf>
    <dxf>
      <numFmt numFmtId="1" formatCode="0"/>
    </dxf>
    <dxf>
      <numFmt numFmtId="165" formatCode="\₹#,##0.00"/>
    </dxf>
    <dxf>
      <font>
        <name val="Aptos"/>
      </font>
    </dxf>
    <dxf>
      <font>
        <name val="Aptos"/>
      </font>
    </dxf>
    <dxf>
      <font>
        <name val="Aptos"/>
      </font>
    </dxf>
    <dxf>
      <font>
        <name val="Aptos"/>
      </font>
    </dxf>
    <dxf>
      <font>
        <name val="Aptos"/>
      </font>
    </dxf>
    <dxf>
      <font>
        <sz val="10"/>
        <name val="Aptos"/>
      </font>
      <numFmt numFmtId="0" formatCode="General"/>
      <alignment horizontal="center" vertical="bottom" textRotation="0" wrapText="0" indent="0" justifyLastLine="0" shrinkToFit="0" readingOrder="0"/>
    </dxf>
    <dxf>
      <font>
        <sz val="10"/>
        <name val="Aptos"/>
      </font>
      <numFmt numFmtId="0" formatCode="General"/>
      <alignment horizontal="center" vertical="bottom" textRotation="0" wrapText="0" indent="0" justifyLastLine="0" shrinkToFit="0" readingOrder="0"/>
    </dxf>
    <dxf>
      <font>
        <sz val="10"/>
        <name val="Aptos"/>
      </font>
      <numFmt numFmtId="0" formatCode="General"/>
      <alignment horizontal="center" vertical="bottom" textRotation="0" wrapText="0" indent="0" justifyLastLine="0" shrinkToFit="0" readingOrder="0"/>
    </dxf>
    <dxf>
      <font>
        <sz val="10"/>
        <name val="Aptos"/>
      </font>
      <numFmt numFmtId="0" formatCode="General"/>
      <alignment horizontal="center" vertical="bottom" textRotation="0" wrapText="0" indent="0" justifyLastLine="0" shrinkToFit="0" readingOrder="0"/>
    </dxf>
    <dxf>
      <font>
        <sz val="10"/>
        <name val="Aptos"/>
      </font>
      <numFmt numFmtId="164" formatCode="\₹#,##0.00;[Red]\-\₹#,##0.00"/>
      <alignment horizontal="center" vertical="bottom" textRotation="0" wrapText="0" indent="0" justifyLastLine="0" shrinkToFit="0" readingOrder="0"/>
    </dxf>
    <dxf>
      <font>
        <sz val="10"/>
        <name val="Aptos"/>
      </font>
      <numFmt numFmtId="0" formatCode="General"/>
      <alignment horizontal="center" vertical="bottom" textRotation="0" wrapText="0" indent="0" justifyLastLine="0" shrinkToFit="0" readingOrder="0"/>
    </dxf>
    <dxf>
      <font>
        <sz val="10"/>
        <name val="Aptos"/>
      </font>
      <numFmt numFmtId="0" formatCode="General"/>
      <alignment horizontal="center" vertical="bottom" textRotation="0" wrapText="0" indent="0" justifyLastLine="0" shrinkToFit="0" readingOrder="0"/>
    </dxf>
    <dxf>
      <font>
        <sz val="10"/>
        <name val="Aptos"/>
      </font>
      <numFmt numFmtId="19" formatCode="dd/mm/yyyy"/>
      <alignment horizontal="center" vertical="bottom" textRotation="0" wrapText="0" indent="0" justifyLastLine="0" shrinkToFit="0" readingOrder="0"/>
    </dxf>
    <dxf>
      <font>
        <sz val="10"/>
        <name val="Aptos"/>
      </font>
      <numFmt numFmtId="19" formatCode="dd/mm/yyyy"/>
      <alignment horizontal="center" vertical="bottom" textRotation="0" wrapText="0" indent="0" justifyLastLine="0" shrinkToFit="0" readingOrder="0"/>
    </dxf>
    <dxf>
      <font>
        <sz val="10"/>
        <name val="Aptos"/>
      </font>
      <numFmt numFmtId="0" formatCode="General"/>
      <alignment horizontal="center" vertical="bottom" textRotation="0" wrapText="0" indent="0" justifyLastLine="0" shrinkToFit="0" readingOrder="0"/>
    </dxf>
    <dxf>
      <font>
        <sz val="10"/>
        <name val="Aptos"/>
      </font>
      <numFmt numFmtId="0" formatCode="General"/>
      <alignment horizontal="center" vertical="bottom" textRotation="0" wrapText="0" indent="0" justifyLastLine="0" shrinkToFit="0" readingOrder="0"/>
    </dxf>
    <dxf>
      <font>
        <sz val="10"/>
        <name val="Aptos"/>
      </font>
      <numFmt numFmtId="0" formatCode="General"/>
      <alignment horizontal="center" vertical="bottom" textRotation="0" wrapText="0" indent="0" justifyLastLine="0" shrinkToFit="0" readingOrder="0"/>
    </dxf>
    <dxf>
      <font>
        <sz val="10"/>
        <name val="Aptos"/>
      </font>
      <numFmt numFmtId="0" formatCode="General"/>
      <alignment horizontal="center" vertical="bottom" textRotation="0" wrapText="0" indent="0" justifyLastLine="0" shrinkToFit="0" readingOrder="0"/>
    </dxf>
    <dxf>
      <font>
        <sz val="10"/>
        <name val="Aptos"/>
      </font>
      <numFmt numFmtId="1" formatCode="0"/>
      <alignment horizontal="center" vertical="bottom" textRotation="0" wrapText="0" indent="0" justifyLastLine="0" shrinkToFit="0" readingOrder="0"/>
    </dxf>
    <dxf>
      <font>
        <sz val="10"/>
        <name val="Aptos"/>
      </font>
      <numFmt numFmtId="0" formatCode="General"/>
      <alignment horizontal="center" vertical="bottom" textRotation="0" wrapText="0" indent="0" justifyLastLine="0" shrinkToFit="0" readingOrder="0"/>
    </dxf>
    <dxf>
      <font>
        <sz val="10"/>
        <name val="Aptos"/>
      </font>
      <numFmt numFmtId="0" formatCode="General"/>
      <alignment horizontal="center" vertical="bottom" textRotation="0" wrapText="0" indent="0" justifyLastLine="0" shrinkToFit="0" readingOrder="0"/>
    </dxf>
    <dxf>
      <font>
        <sz val="10"/>
        <name val="Aptos"/>
      </font>
      <alignment horizontal="center" vertical="bottom" textRotation="0" wrapText="0" indent="0" justifyLastLine="0" shrinkToFit="0" readingOrder="0"/>
    </dxf>
    <dxf>
      <font>
        <b/>
        <sz val="10"/>
        <color rgb="FFFFFFFF"/>
        <name val="Aptos"/>
      </font>
      <fill>
        <patternFill patternType="solid">
          <fgColor indexed="64"/>
          <bgColor rgb="FF17365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data.xlsx]Pivot Summary!Billings_by_City</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Billings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Summary'!$J$4</c:f>
              <c:strCache>
                <c:ptCount val="1"/>
                <c:pt idx="0">
                  <c:v>Total</c:v>
                </c:pt>
              </c:strCache>
            </c:strRef>
          </c:tx>
          <c:spPr>
            <a:solidFill>
              <a:schemeClr val="accent1"/>
            </a:solidFill>
            <a:ln>
              <a:noFill/>
            </a:ln>
            <a:effectLst/>
          </c:spPr>
          <c:invertIfNegative val="0"/>
          <c:cat>
            <c:strRef>
              <c:f>'Pivot Summary'!$I$5:$I$19</c:f>
              <c:strCache>
                <c:ptCount val="14"/>
                <c:pt idx="0">
                  <c:v>Ahmedabad</c:v>
                </c:pt>
                <c:pt idx="1">
                  <c:v>Bangalore</c:v>
                </c:pt>
                <c:pt idx="2">
                  <c:v>Bengaluru</c:v>
                </c:pt>
                <c:pt idx="3">
                  <c:v>Bombay</c:v>
                </c:pt>
                <c:pt idx="4">
                  <c:v>Calcutta</c:v>
                </c:pt>
                <c:pt idx="5">
                  <c:v>Chandigarh</c:v>
                </c:pt>
                <c:pt idx="6">
                  <c:v>Chennai</c:v>
                </c:pt>
                <c:pt idx="7">
                  <c:v>Delhi</c:v>
                </c:pt>
                <c:pt idx="8">
                  <c:v>Hyderabad</c:v>
                </c:pt>
                <c:pt idx="9">
                  <c:v>Jaipur</c:v>
                </c:pt>
                <c:pt idx="10">
                  <c:v>Kolkata</c:v>
                </c:pt>
                <c:pt idx="11">
                  <c:v>Mumbai</c:v>
                </c:pt>
                <c:pt idx="12">
                  <c:v>Pune</c:v>
                </c:pt>
                <c:pt idx="13">
                  <c:v>Unknown</c:v>
                </c:pt>
              </c:strCache>
            </c:strRef>
          </c:cat>
          <c:val>
            <c:numRef>
              <c:f>'Pivot Summary'!$J$5:$J$19</c:f>
              <c:numCache>
                <c:formatCode>\₹#,##0.00</c:formatCode>
                <c:ptCount val="14"/>
                <c:pt idx="0">
                  <c:v>8135413.2600000016</c:v>
                </c:pt>
                <c:pt idx="1">
                  <c:v>6269785.9500000011</c:v>
                </c:pt>
                <c:pt idx="2">
                  <c:v>154000.01</c:v>
                </c:pt>
                <c:pt idx="3">
                  <c:v>521506.35000000003</c:v>
                </c:pt>
                <c:pt idx="4">
                  <c:v>443035.77</c:v>
                </c:pt>
                <c:pt idx="5">
                  <c:v>9398012.5499999989</c:v>
                </c:pt>
                <c:pt idx="6">
                  <c:v>8899813.6699999999</c:v>
                </c:pt>
                <c:pt idx="7">
                  <c:v>7857703.6599999992</c:v>
                </c:pt>
                <c:pt idx="8">
                  <c:v>10731009.540000001</c:v>
                </c:pt>
                <c:pt idx="9">
                  <c:v>9158723.339999998</c:v>
                </c:pt>
                <c:pt idx="10">
                  <c:v>8013128.4500000002</c:v>
                </c:pt>
                <c:pt idx="11">
                  <c:v>9017466.9399999995</c:v>
                </c:pt>
                <c:pt idx="12">
                  <c:v>9721719.9600000009</c:v>
                </c:pt>
                <c:pt idx="13">
                  <c:v>3629372.4600000004</c:v>
                </c:pt>
              </c:numCache>
            </c:numRef>
          </c:val>
          <c:extLst>
            <c:ext xmlns:c16="http://schemas.microsoft.com/office/drawing/2014/chart" uri="{C3380CC4-5D6E-409C-BE32-E72D297353CC}">
              <c16:uniqueId val="{00000000-CB20-4070-B60D-3457E1790AEF}"/>
            </c:ext>
          </c:extLst>
        </c:ser>
        <c:dLbls>
          <c:showLegendKey val="0"/>
          <c:showVal val="0"/>
          <c:showCatName val="0"/>
          <c:showSerName val="0"/>
          <c:showPercent val="0"/>
          <c:showBubbleSize val="0"/>
        </c:dLbls>
        <c:gapWidth val="219"/>
        <c:overlap val="-27"/>
        <c:axId val="1742653504"/>
        <c:axId val="1841167056"/>
      </c:barChart>
      <c:catAx>
        <c:axId val="174265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167056"/>
        <c:crosses val="autoZero"/>
        <c:auto val="1"/>
        <c:lblAlgn val="ctr"/>
        <c:lblOffset val="100"/>
        <c:noMultiLvlLbl val="0"/>
      </c:catAx>
      <c:valAx>
        <c:axId val="1841167056"/>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65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data.xlsx]Pivot Summary!Patients_by_Age_Group</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Patients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Summary'!$B$4</c:f>
              <c:strCache>
                <c:ptCount val="1"/>
                <c:pt idx="0">
                  <c:v>Total</c:v>
                </c:pt>
              </c:strCache>
            </c:strRef>
          </c:tx>
          <c:spPr>
            <a:solidFill>
              <a:schemeClr val="accent1"/>
            </a:solidFill>
            <a:ln>
              <a:noFill/>
            </a:ln>
            <a:effectLst/>
          </c:spPr>
          <c:invertIfNegative val="0"/>
          <c:cat>
            <c:strRef>
              <c:f>'Pivot Summary'!$A$5:$A$10</c:f>
              <c:strCache>
                <c:ptCount val="5"/>
                <c:pt idx="0">
                  <c:v>0-17</c:v>
                </c:pt>
                <c:pt idx="1">
                  <c:v>18-35</c:v>
                </c:pt>
                <c:pt idx="2">
                  <c:v>36-50</c:v>
                </c:pt>
                <c:pt idx="3">
                  <c:v>51-65</c:v>
                </c:pt>
                <c:pt idx="4">
                  <c:v>66+</c:v>
                </c:pt>
              </c:strCache>
            </c:strRef>
          </c:cat>
          <c:val>
            <c:numRef>
              <c:f>'Pivot Summary'!$B$5:$B$10</c:f>
              <c:numCache>
                <c:formatCode>General</c:formatCode>
                <c:ptCount val="5"/>
                <c:pt idx="0">
                  <c:v>82</c:v>
                </c:pt>
                <c:pt idx="1">
                  <c:v>99</c:v>
                </c:pt>
                <c:pt idx="2">
                  <c:v>120</c:v>
                </c:pt>
                <c:pt idx="3">
                  <c:v>78</c:v>
                </c:pt>
                <c:pt idx="4">
                  <c:v>121</c:v>
                </c:pt>
              </c:numCache>
            </c:numRef>
          </c:val>
          <c:extLst>
            <c:ext xmlns:c16="http://schemas.microsoft.com/office/drawing/2014/chart" uri="{C3380CC4-5D6E-409C-BE32-E72D297353CC}">
              <c16:uniqueId val="{00000000-B4DB-46B9-9B45-24987FCB2C9E}"/>
            </c:ext>
          </c:extLst>
        </c:ser>
        <c:dLbls>
          <c:showLegendKey val="0"/>
          <c:showVal val="0"/>
          <c:showCatName val="0"/>
          <c:showSerName val="0"/>
          <c:showPercent val="0"/>
          <c:showBubbleSize val="0"/>
        </c:dLbls>
        <c:gapWidth val="219"/>
        <c:overlap val="-27"/>
        <c:axId val="999591136"/>
        <c:axId val="1841184336"/>
      </c:barChart>
      <c:catAx>
        <c:axId val="99959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184336"/>
        <c:crosses val="autoZero"/>
        <c:auto val="1"/>
        <c:lblAlgn val="ctr"/>
        <c:lblOffset val="100"/>
        <c:noMultiLvlLbl val="0"/>
      </c:catAx>
      <c:valAx>
        <c:axId val="184118433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591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data.xlsx]Pivot Summary!Operations_by_Doctor</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Operations by Doctor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Summary'!$B$24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7D1-4341-8A5F-6A6A7AECCE5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7D1-4341-8A5F-6A6A7AECCE5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7D1-4341-8A5F-6A6A7AECCE5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7D1-4341-8A5F-6A6A7AECCE5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97D1-4341-8A5F-6A6A7AECCE5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97D1-4341-8A5F-6A6A7AECCE5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97D1-4341-8A5F-6A6A7AECCE5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97D1-4341-8A5F-6A6A7AECCE57}"/>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97D1-4341-8A5F-6A6A7AECCE57}"/>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97D1-4341-8A5F-6A6A7AECCE57}"/>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97D1-4341-8A5F-6A6A7AECCE57}"/>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97D1-4341-8A5F-6A6A7AECCE57}"/>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97D1-4341-8A5F-6A6A7AECCE57}"/>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97D1-4341-8A5F-6A6A7AECCE57}"/>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97D1-4341-8A5F-6A6A7AECCE57}"/>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97D1-4341-8A5F-6A6A7AECCE57}"/>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97D1-4341-8A5F-6A6A7AECCE57}"/>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97D1-4341-8A5F-6A6A7AECCE57}"/>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97D1-4341-8A5F-6A6A7AECCE57}"/>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97D1-4341-8A5F-6A6A7AECCE57}"/>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97D1-4341-8A5F-6A6A7AECCE57}"/>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97D1-4341-8A5F-6A6A7AECCE57}"/>
              </c:ext>
            </c:extLst>
          </c:dPt>
          <c:cat>
            <c:strRef>
              <c:f>'Pivot Summary'!$A$25:$A$47</c:f>
              <c:strCache>
                <c:ptCount val="22"/>
                <c:pt idx="0">
                  <c:v>Dr. Anoop Misra</c:v>
                </c:pt>
                <c:pt idx="1">
                  <c:v>Dr. Arvind Bagga</c:v>
                </c:pt>
                <c:pt idx="2">
                  <c:v>Dr. Ashok Seth</c:v>
                </c:pt>
                <c:pt idx="3">
                  <c:v>Dr. Atul Gogia</c:v>
                </c:pt>
                <c:pt idx="4">
                  <c:v>Dr. Devi Shetty</c:v>
                </c:pt>
                <c:pt idx="5">
                  <c:v>Dr. Govind Makharia</c:v>
                </c:pt>
                <c:pt idx="6">
                  <c:v>Dr. Harit Chaturvedi</c:v>
                </c:pt>
                <c:pt idx="7">
                  <c:v>Dr. Harshavardhan Hegde</c:v>
                </c:pt>
                <c:pt idx="8">
                  <c:v>Dr. Krishan Chugh</c:v>
                </c:pt>
                <c:pt idx="9">
                  <c:v>Dr. Mukul Varma</c:v>
                </c:pt>
                <c:pt idx="10">
                  <c:v>Dr. Naresh Trehan</c:v>
                </c:pt>
                <c:pt idx="11">
                  <c:v>Dr. P. N. Renjen</c:v>
                </c:pt>
                <c:pt idx="12">
                  <c:v>Dr. R. K. Singhal</c:v>
                </c:pt>
                <c:pt idx="13">
                  <c:v>Dr. Ramneek Mahajan</c:v>
                </c:pt>
                <c:pt idx="14">
                  <c:v>Dr. Randhir Sud</c:v>
                </c:pt>
                <c:pt idx="15">
                  <c:v>Dr. SKS Marya</c:v>
                </c:pt>
                <c:pt idx="16">
                  <c:v>Dr. Subhash Gupta</c:v>
                </c:pt>
                <c:pt idx="17">
                  <c:v>Dr. Suresh Advani</c:v>
                </c:pt>
                <c:pt idx="18">
                  <c:v>Dr. Sushil Razdan</c:v>
                </c:pt>
                <c:pt idx="19">
                  <c:v>Dr. Veena Kalra</c:v>
                </c:pt>
                <c:pt idx="20">
                  <c:v>Dr. Vinod Raina</c:v>
                </c:pt>
                <c:pt idx="21">
                  <c:v>Unknown</c:v>
                </c:pt>
              </c:strCache>
            </c:strRef>
          </c:cat>
          <c:val>
            <c:numRef>
              <c:f>'Pivot Summary'!$B$25:$B$47</c:f>
              <c:numCache>
                <c:formatCode>0</c:formatCode>
                <c:ptCount val="22"/>
                <c:pt idx="0">
                  <c:v>22</c:v>
                </c:pt>
                <c:pt idx="1">
                  <c:v>21</c:v>
                </c:pt>
                <c:pt idx="2">
                  <c:v>20</c:v>
                </c:pt>
                <c:pt idx="3">
                  <c:v>20</c:v>
                </c:pt>
                <c:pt idx="4">
                  <c:v>15</c:v>
                </c:pt>
                <c:pt idx="5">
                  <c:v>19</c:v>
                </c:pt>
                <c:pt idx="6">
                  <c:v>26</c:v>
                </c:pt>
                <c:pt idx="7">
                  <c:v>25</c:v>
                </c:pt>
                <c:pt idx="8">
                  <c:v>21</c:v>
                </c:pt>
                <c:pt idx="9">
                  <c:v>19</c:v>
                </c:pt>
                <c:pt idx="10">
                  <c:v>25</c:v>
                </c:pt>
                <c:pt idx="11">
                  <c:v>28</c:v>
                </c:pt>
                <c:pt idx="12">
                  <c:v>17</c:v>
                </c:pt>
                <c:pt idx="13">
                  <c:v>20</c:v>
                </c:pt>
                <c:pt idx="14">
                  <c:v>27</c:v>
                </c:pt>
                <c:pt idx="15">
                  <c:v>30</c:v>
                </c:pt>
                <c:pt idx="16">
                  <c:v>25</c:v>
                </c:pt>
                <c:pt idx="17">
                  <c:v>32</c:v>
                </c:pt>
                <c:pt idx="18">
                  <c:v>19</c:v>
                </c:pt>
                <c:pt idx="19">
                  <c:v>21</c:v>
                </c:pt>
                <c:pt idx="20">
                  <c:v>25</c:v>
                </c:pt>
                <c:pt idx="21">
                  <c:v>23</c:v>
                </c:pt>
              </c:numCache>
            </c:numRef>
          </c:val>
          <c:extLst>
            <c:ext xmlns:c16="http://schemas.microsoft.com/office/drawing/2014/chart" uri="{C3380CC4-5D6E-409C-BE32-E72D297353CC}">
              <c16:uniqueId val="{0000002C-97D1-4341-8A5F-6A6A7AECCE5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data.xlsx]Pivot Summary!Patients_by_Payment_Status</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Patients by Payment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Summary'!$J$24</c:f>
              <c:strCache>
                <c:ptCount val="1"/>
                <c:pt idx="0">
                  <c:v>Total</c:v>
                </c:pt>
              </c:strCache>
            </c:strRef>
          </c:tx>
          <c:spPr>
            <a:solidFill>
              <a:schemeClr val="accent1"/>
            </a:solidFill>
            <a:ln>
              <a:noFill/>
            </a:ln>
            <a:effectLst/>
          </c:spPr>
          <c:invertIfNegative val="0"/>
          <c:cat>
            <c:strRef>
              <c:f>'Pivot Summary'!$I$25:$I$32</c:f>
              <c:strCache>
                <c:ptCount val="7"/>
                <c:pt idx="0">
                  <c:v>Claim Processing</c:v>
                </c:pt>
                <c:pt idx="1">
                  <c:v>Disputed</c:v>
                </c:pt>
                <c:pt idx="2">
                  <c:v>Paid</c:v>
                </c:pt>
                <c:pt idx="3">
                  <c:v>Partially Paid</c:v>
                </c:pt>
                <c:pt idx="4">
                  <c:v>Pending</c:v>
                </c:pt>
                <c:pt idx="5">
                  <c:v>Unknown</c:v>
                </c:pt>
                <c:pt idx="6">
                  <c:v>Unpaid</c:v>
                </c:pt>
              </c:strCache>
            </c:strRef>
          </c:cat>
          <c:val>
            <c:numRef>
              <c:f>'Pivot Summary'!$J$25:$J$32</c:f>
              <c:numCache>
                <c:formatCode>0</c:formatCode>
                <c:ptCount val="7"/>
                <c:pt idx="0">
                  <c:v>89</c:v>
                </c:pt>
                <c:pt idx="1">
                  <c:v>102</c:v>
                </c:pt>
                <c:pt idx="2">
                  <c:v>111</c:v>
                </c:pt>
                <c:pt idx="3">
                  <c:v>82</c:v>
                </c:pt>
                <c:pt idx="4">
                  <c:v>93</c:v>
                </c:pt>
                <c:pt idx="5">
                  <c:v>21</c:v>
                </c:pt>
                <c:pt idx="6">
                  <c:v>2</c:v>
                </c:pt>
              </c:numCache>
            </c:numRef>
          </c:val>
          <c:extLst>
            <c:ext xmlns:c16="http://schemas.microsoft.com/office/drawing/2014/chart" uri="{C3380CC4-5D6E-409C-BE32-E72D297353CC}">
              <c16:uniqueId val="{00000000-7C09-472D-86CE-3DFB4EA77F87}"/>
            </c:ext>
          </c:extLst>
        </c:ser>
        <c:dLbls>
          <c:showLegendKey val="0"/>
          <c:showVal val="0"/>
          <c:showCatName val="0"/>
          <c:showSerName val="0"/>
          <c:showPercent val="0"/>
          <c:showBubbleSize val="0"/>
        </c:dLbls>
        <c:gapWidth val="182"/>
        <c:axId val="1912535712"/>
        <c:axId val="1841094576"/>
      </c:barChart>
      <c:catAx>
        <c:axId val="1912535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094576"/>
        <c:crosses val="autoZero"/>
        <c:auto val="1"/>
        <c:lblAlgn val="ctr"/>
        <c:lblOffset val="100"/>
        <c:noMultiLvlLbl val="0"/>
      </c:catAx>
      <c:valAx>
        <c:axId val="184109457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535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data.xlsx]Pivot Summary!Patients_by_Gender</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Patients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 Summary'!$F$4</c:f>
              <c:strCache>
                <c:ptCount val="1"/>
                <c:pt idx="0">
                  <c:v>Total</c:v>
                </c:pt>
              </c:strCache>
            </c:strRef>
          </c:tx>
          <c:spPr>
            <a:solidFill>
              <a:schemeClr val="accent1"/>
            </a:solidFill>
            <a:ln>
              <a:noFill/>
            </a:ln>
            <a:effectLst/>
            <a:sp3d/>
          </c:spPr>
          <c:cat>
            <c:strRef>
              <c:f>'Pivot Summary'!$E$5:$E$9</c:f>
              <c:strCache>
                <c:ptCount val="4"/>
                <c:pt idx="0">
                  <c:v>Female</c:v>
                </c:pt>
                <c:pt idx="1">
                  <c:v>Male</c:v>
                </c:pt>
                <c:pt idx="2">
                  <c:v>Unknown</c:v>
                </c:pt>
                <c:pt idx="3">
                  <c:v>Unspecified</c:v>
                </c:pt>
              </c:strCache>
            </c:strRef>
          </c:cat>
          <c:val>
            <c:numRef>
              <c:f>'Pivot Summary'!$F$5:$F$9</c:f>
              <c:numCache>
                <c:formatCode>General</c:formatCode>
                <c:ptCount val="4"/>
                <c:pt idx="0">
                  <c:v>235</c:v>
                </c:pt>
                <c:pt idx="1">
                  <c:v>243</c:v>
                </c:pt>
                <c:pt idx="2">
                  <c:v>12</c:v>
                </c:pt>
                <c:pt idx="3">
                  <c:v>10</c:v>
                </c:pt>
              </c:numCache>
            </c:numRef>
          </c:val>
          <c:extLst>
            <c:ext xmlns:c16="http://schemas.microsoft.com/office/drawing/2014/chart" uri="{C3380CC4-5D6E-409C-BE32-E72D297353CC}">
              <c16:uniqueId val="{00000000-C924-467E-B254-45101B8CA88C}"/>
            </c:ext>
          </c:extLst>
        </c:ser>
        <c:dLbls>
          <c:showLegendKey val="0"/>
          <c:showVal val="0"/>
          <c:showCatName val="0"/>
          <c:showSerName val="0"/>
          <c:showPercent val="0"/>
          <c:showBubbleSize val="0"/>
        </c:dLbls>
        <c:axId val="1912496272"/>
        <c:axId val="1841178576"/>
        <c:axId val="1064191184"/>
      </c:area3DChart>
      <c:catAx>
        <c:axId val="1912496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178576"/>
        <c:crosses val="autoZero"/>
        <c:auto val="1"/>
        <c:lblAlgn val="ctr"/>
        <c:lblOffset val="100"/>
        <c:noMultiLvlLbl val="0"/>
      </c:catAx>
      <c:valAx>
        <c:axId val="184117857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496272"/>
        <c:crosses val="autoZero"/>
        <c:crossBetween val="midCat"/>
      </c:valAx>
      <c:serAx>
        <c:axId val="106419118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17857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data.xlsx]Pivot Summary!Patients_by_Insurance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Patients by Insurance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Summary'!$F$24</c:f>
              <c:strCache>
                <c:ptCount val="1"/>
                <c:pt idx="0">
                  <c:v>Total</c:v>
                </c:pt>
              </c:strCache>
            </c:strRef>
          </c:tx>
          <c:spPr>
            <a:solidFill>
              <a:schemeClr val="accent1"/>
            </a:solidFill>
            <a:ln>
              <a:noFill/>
            </a:ln>
            <a:effectLst/>
          </c:spPr>
          <c:invertIfNegative val="0"/>
          <c:cat>
            <c:strRef>
              <c:f>'Pivot Summary'!$E$25:$E$33</c:f>
              <c:strCache>
                <c:ptCount val="8"/>
                <c:pt idx="0">
                  <c:v>Bajaj Allianz</c:v>
                </c:pt>
                <c:pt idx="1">
                  <c:v>Care Health</c:v>
                </c:pt>
                <c:pt idx="2">
                  <c:v>HDFC ERGO</c:v>
                </c:pt>
                <c:pt idx="3">
                  <c:v>ICICI Lombard</c:v>
                </c:pt>
                <c:pt idx="4">
                  <c:v>Max Bupa</c:v>
                </c:pt>
                <c:pt idx="5">
                  <c:v>None / Self Pay</c:v>
                </c:pt>
                <c:pt idx="6">
                  <c:v>Star Health</c:v>
                </c:pt>
                <c:pt idx="7">
                  <c:v>Unknown</c:v>
                </c:pt>
              </c:strCache>
            </c:strRef>
          </c:cat>
          <c:val>
            <c:numRef>
              <c:f>'Pivot Summary'!$F$25:$F$33</c:f>
              <c:numCache>
                <c:formatCode>0</c:formatCode>
                <c:ptCount val="8"/>
                <c:pt idx="0">
                  <c:v>61</c:v>
                </c:pt>
                <c:pt idx="1">
                  <c:v>67</c:v>
                </c:pt>
                <c:pt idx="2">
                  <c:v>60</c:v>
                </c:pt>
                <c:pt idx="3">
                  <c:v>68</c:v>
                </c:pt>
                <c:pt idx="4">
                  <c:v>63</c:v>
                </c:pt>
                <c:pt idx="5">
                  <c:v>104</c:v>
                </c:pt>
                <c:pt idx="6">
                  <c:v>56</c:v>
                </c:pt>
                <c:pt idx="7">
                  <c:v>21</c:v>
                </c:pt>
              </c:numCache>
            </c:numRef>
          </c:val>
          <c:extLst>
            <c:ext xmlns:c16="http://schemas.microsoft.com/office/drawing/2014/chart" uri="{C3380CC4-5D6E-409C-BE32-E72D297353CC}">
              <c16:uniqueId val="{00000000-AE83-4298-BB5D-EF135D6AB7A0}"/>
            </c:ext>
          </c:extLst>
        </c:ser>
        <c:dLbls>
          <c:showLegendKey val="0"/>
          <c:showVal val="0"/>
          <c:showCatName val="0"/>
          <c:showSerName val="0"/>
          <c:showPercent val="0"/>
          <c:showBubbleSize val="0"/>
        </c:dLbls>
        <c:gapWidth val="219"/>
        <c:overlap val="-27"/>
        <c:axId val="999575824"/>
        <c:axId val="1597867024"/>
      </c:barChart>
      <c:catAx>
        <c:axId val="99957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867024"/>
        <c:crosses val="autoZero"/>
        <c:auto val="1"/>
        <c:lblAlgn val="ctr"/>
        <c:lblOffset val="100"/>
        <c:noMultiLvlLbl val="0"/>
      </c:catAx>
      <c:valAx>
        <c:axId val="1597867024"/>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57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46380</xdr:rowOff>
    </xdr:from>
    <xdr:to>
      <xdr:col>6</xdr:col>
      <xdr:colOff>29028</xdr:colOff>
      <xdr:row>15</xdr:row>
      <xdr:rowOff>56541</xdr:rowOff>
    </xdr:to>
    <xdr:sp macro="" textlink="">
      <xdr:nvSpPr>
        <xdr:cNvPr id="2" name="KPI_Total_Patients">
          <a:extLst>
            <a:ext uri="{FF2B5EF4-FFF2-40B4-BE49-F238E27FC236}">
              <a16:creationId xmlns:a16="http://schemas.microsoft.com/office/drawing/2014/main" id="{F3751AA5-3688-4FB4-8F33-A96FA0883570}"/>
            </a:ext>
          </a:extLst>
        </xdr:cNvPr>
        <xdr:cNvSpPr/>
      </xdr:nvSpPr>
      <xdr:spPr>
        <a:xfrm>
          <a:off x="0" y="1570380"/>
          <a:ext cx="3686628" cy="1343661"/>
        </a:xfrm>
        <a:prstGeom prst="rect">
          <a:avLst/>
        </a:prstGeom>
        <a:solidFill>
          <a:srgbClr val="0F766E"/>
        </a:solidFill>
        <a:ln w="12700" cap="flat" cmpd="sng" algn="ctr">
          <a:solidFill>
            <a:srgbClr val="0F766E"/>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700" b="1" i="0" u="none" strike="noStrike" kern="0" cap="none" spc="0" normalizeH="0" baseline="0" noProof="0">
              <a:ln>
                <a:noFill/>
              </a:ln>
              <a:solidFill>
                <a:srgbClr val="FFFFFF"/>
              </a:solidFill>
              <a:effectLst/>
              <a:uLnTx/>
              <a:uFillTx/>
              <a:latin typeface="Aptos Display"/>
            </a:rPr>
            <a:t>TOTAL PATIENTS KPIs
500</a:t>
          </a:r>
        </a:p>
      </xdr:txBody>
    </xdr:sp>
    <xdr:clientData/>
  </xdr:twoCellAnchor>
  <xdr:twoCellAnchor>
    <xdr:from>
      <xdr:col>0</xdr:col>
      <xdr:colOff>0</xdr:colOff>
      <xdr:row>16</xdr:row>
      <xdr:rowOff>129592</xdr:rowOff>
    </xdr:from>
    <xdr:to>
      <xdr:col>6</xdr:col>
      <xdr:colOff>29027</xdr:colOff>
      <xdr:row>23</xdr:row>
      <xdr:rowOff>139754</xdr:rowOff>
    </xdr:to>
    <xdr:sp macro="" textlink="">
      <xdr:nvSpPr>
        <xdr:cNvPr id="3" name="KPI_Total_Billings">
          <a:extLst>
            <a:ext uri="{FF2B5EF4-FFF2-40B4-BE49-F238E27FC236}">
              <a16:creationId xmlns:a16="http://schemas.microsoft.com/office/drawing/2014/main" id="{12796631-561F-4814-A26E-061270E63F9F}"/>
            </a:ext>
          </a:extLst>
        </xdr:cNvPr>
        <xdr:cNvSpPr/>
      </xdr:nvSpPr>
      <xdr:spPr>
        <a:xfrm>
          <a:off x="0" y="3177592"/>
          <a:ext cx="3686627" cy="1343662"/>
        </a:xfrm>
        <a:prstGeom prst="rect">
          <a:avLst/>
        </a:prstGeom>
        <a:solidFill>
          <a:srgbClr val="1D4ED8"/>
        </a:solidFill>
        <a:ln w="12700" cap="flat" cmpd="sng" algn="ctr">
          <a:solidFill>
            <a:srgbClr val="1D4ED8"/>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700" b="1" i="0" u="none" strike="noStrike" kern="0" cap="none" spc="0" normalizeH="0" baseline="0" noProof="0">
              <a:ln>
                <a:noFill/>
              </a:ln>
              <a:solidFill>
                <a:srgbClr val="FFFFFF"/>
              </a:solidFill>
              <a:effectLst/>
              <a:uLnTx/>
              <a:uFillTx/>
              <a:latin typeface="Aptos Display"/>
            </a:rPr>
            <a:t>TOTAL BILLINGS KPIs
₹9.20 Cr</a:t>
          </a:r>
        </a:p>
      </xdr:txBody>
    </xdr:sp>
    <xdr:clientData/>
  </xdr:twoCellAnchor>
  <xdr:twoCellAnchor>
    <xdr:from>
      <xdr:col>0</xdr:col>
      <xdr:colOff>0</xdr:colOff>
      <xdr:row>25</xdr:row>
      <xdr:rowOff>7620</xdr:rowOff>
    </xdr:from>
    <xdr:to>
      <xdr:col>6</xdr:col>
      <xdr:colOff>29029</xdr:colOff>
      <xdr:row>32</xdr:row>
      <xdr:rowOff>17780</xdr:rowOff>
    </xdr:to>
    <xdr:sp macro="" textlink="">
      <xdr:nvSpPr>
        <xdr:cNvPr id="4" name="KPI_Avg_Bill">
          <a:extLst>
            <a:ext uri="{FF2B5EF4-FFF2-40B4-BE49-F238E27FC236}">
              <a16:creationId xmlns:a16="http://schemas.microsoft.com/office/drawing/2014/main" id="{BA79FF55-FA30-4C28-BC2C-1AF5964CF9E7}"/>
            </a:ext>
          </a:extLst>
        </xdr:cNvPr>
        <xdr:cNvSpPr/>
      </xdr:nvSpPr>
      <xdr:spPr>
        <a:xfrm>
          <a:off x="0" y="4770120"/>
          <a:ext cx="3686629" cy="1343660"/>
        </a:xfrm>
        <a:prstGeom prst="rect">
          <a:avLst/>
        </a:prstGeom>
        <a:solidFill>
          <a:srgbClr val="7C3AED"/>
        </a:solidFill>
        <a:ln w="12700" cap="flat" cmpd="sng" algn="ctr">
          <a:solidFill>
            <a:srgbClr val="7C3AED"/>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700" b="1" i="0" u="none" strike="noStrike" kern="0" cap="none" spc="0" normalizeH="0" baseline="0" noProof="0">
              <a:ln>
                <a:noFill/>
              </a:ln>
              <a:solidFill>
                <a:srgbClr val="FFFFFF"/>
              </a:solidFill>
              <a:effectLst/>
              <a:uLnTx/>
              <a:uFillTx/>
              <a:latin typeface="Aptos Display"/>
            </a:rPr>
            <a:t>AVG BILL / PATIENT KPIs
₹1.84 L</a:t>
          </a:r>
        </a:p>
      </xdr:txBody>
    </xdr:sp>
    <xdr:clientData/>
  </xdr:twoCellAnchor>
  <xdr:twoCellAnchor>
    <xdr:from>
      <xdr:col>0</xdr:col>
      <xdr:colOff>0</xdr:colOff>
      <xdr:row>33</xdr:row>
      <xdr:rowOff>57599</xdr:rowOff>
    </xdr:from>
    <xdr:to>
      <xdr:col>6</xdr:col>
      <xdr:colOff>29029</xdr:colOff>
      <xdr:row>40</xdr:row>
      <xdr:rowOff>66580</xdr:rowOff>
    </xdr:to>
    <xdr:sp macro="" textlink="">
      <xdr:nvSpPr>
        <xdr:cNvPr id="6" name="KPI_Insurance">
          <a:extLst>
            <a:ext uri="{FF2B5EF4-FFF2-40B4-BE49-F238E27FC236}">
              <a16:creationId xmlns:a16="http://schemas.microsoft.com/office/drawing/2014/main" id="{49565695-B962-4135-9751-01F43EDAF4FF}"/>
            </a:ext>
          </a:extLst>
        </xdr:cNvPr>
        <xdr:cNvSpPr/>
      </xdr:nvSpPr>
      <xdr:spPr>
        <a:xfrm>
          <a:off x="0" y="6344099"/>
          <a:ext cx="3686629" cy="1342481"/>
        </a:xfrm>
        <a:prstGeom prst="rect">
          <a:avLst/>
        </a:prstGeom>
        <a:solidFill>
          <a:srgbClr val="B45309"/>
        </a:solidFill>
        <a:ln w="12700" cap="flat" cmpd="sng" algn="ctr">
          <a:solidFill>
            <a:srgbClr val="B45309"/>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700" b="1" i="0" u="none" strike="noStrike" kern="0" cap="none" spc="0" normalizeH="0" baseline="0" noProof="0">
              <a:ln>
                <a:noFill/>
              </a:ln>
              <a:solidFill>
                <a:srgbClr val="FFFFFF"/>
              </a:solidFill>
              <a:effectLst/>
              <a:uLnTx/>
              <a:uFillTx/>
              <a:latin typeface="Aptos Display"/>
            </a:rPr>
            <a:t>INSURANCE COVERAGE KPIs
75.0%</a:t>
          </a:r>
        </a:p>
      </xdr:txBody>
    </xdr:sp>
    <xdr:clientData/>
  </xdr:twoCellAnchor>
  <xdr:twoCellAnchor>
    <xdr:from>
      <xdr:col>0</xdr:col>
      <xdr:colOff>0</xdr:colOff>
      <xdr:row>41</xdr:row>
      <xdr:rowOff>57723</xdr:rowOff>
    </xdr:from>
    <xdr:to>
      <xdr:col>6</xdr:col>
      <xdr:colOff>29028</xdr:colOff>
      <xdr:row>48</xdr:row>
      <xdr:rowOff>67883</xdr:rowOff>
    </xdr:to>
    <xdr:sp macro="" textlink="">
      <xdr:nvSpPr>
        <xdr:cNvPr id="7" name="KPI_Paid_Rate">
          <a:extLst>
            <a:ext uri="{FF2B5EF4-FFF2-40B4-BE49-F238E27FC236}">
              <a16:creationId xmlns:a16="http://schemas.microsoft.com/office/drawing/2014/main" id="{D4EA431A-3CCD-42D5-8E13-8F34F32B5995}"/>
            </a:ext>
          </a:extLst>
        </xdr:cNvPr>
        <xdr:cNvSpPr/>
      </xdr:nvSpPr>
      <xdr:spPr>
        <a:xfrm>
          <a:off x="0" y="7868223"/>
          <a:ext cx="3686628" cy="1343660"/>
        </a:xfrm>
        <a:prstGeom prst="rect">
          <a:avLst/>
        </a:prstGeom>
        <a:solidFill>
          <a:srgbClr val="BE123C"/>
        </a:solidFill>
        <a:ln w="12700" cap="flat" cmpd="sng" algn="ctr">
          <a:solidFill>
            <a:srgbClr val="BE123C"/>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700" b="1" i="0" u="none" strike="noStrike" kern="0" cap="none" spc="0" normalizeH="0" baseline="0" noProof="0">
              <a:ln>
                <a:noFill/>
              </a:ln>
              <a:solidFill>
                <a:srgbClr val="FFFFFF"/>
              </a:solidFill>
              <a:effectLst/>
              <a:uLnTx/>
              <a:uFillTx/>
              <a:latin typeface="Aptos Display"/>
            </a:rPr>
            <a:t>PAID CASE RATE KPIs
22.2%</a:t>
          </a:r>
        </a:p>
      </xdr:txBody>
    </xdr:sp>
    <xdr:clientData/>
  </xdr:twoCellAnchor>
  <xdr:twoCellAnchor>
    <xdr:from>
      <xdr:col>6</xdr:col>
      <xdr:colOff>50034</xdr:colOff>
      <xdr:row>4</xdr:row>
      <xdr:rowOff>25244</xdr:rowOff>
    </xdr:from>
    <xdr:to>
      <xdr:col>13</xdr:col>
      <xdr:colOff>501134</xdr:colOff>
      <xdr:row>19</xdr:row>
      <xdr:rowOff>61784</xdr:rowOff>
    </xdr:to>
    <xdr:graphicFrame macro="">
      <xdr:nvGraphicFramePr>
        <xdr:cNvPr id="81" name="Chart 1">
          <a:extLst>
            <a:ext uri="{FF2B5EF4-FFF2-40B4-BE49-F238E27FC236}">
              <a16:creationId xmlns:a16="http://schemas.microsoft.com/office/drawing/2014/main" id="{73F2F52D-B3F5-DD93-6404-D6F9B16622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568411</xdr:colOff>
      <xdr:row>4</xdr:row>
      <xdr:rowOff>39748</xdr:rowOff>
    </xdr:from>
    <xdr:to>
      <xdr:col>16</xdr:col>
      <xdr:colOff>164354</xdr:colOff>
      <xdr:row>19</xdr:row>
      <xdr:rowOff>71438</xdr:rowOff>
    </xdr:to>
    <mc:AlternateContent xmlns:mc="http://schemas.openxmlformats.org/markup-compatibility/2006" xmlns:a14="http://schemas.microsoft.com/office/drawing/2010/main">
      <mc:Choice Requires="a14">
        <xdr:graphicFrame macro="">
          <xdr:nvGraphicFramePr>
            <xdr:cNvPr id="11" name="City">
              <a:extLst>
                <a:ext uri="{FF2B5EF4-FFF2-40B4-BE49-F238E27FC236}">
                  <a16:creationId xmlns:a16="http://schemas.microsoft.com/office/drawing/2014/main" id="{997C8168-3864-C9EB-3AFD-854162B5C37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587554" y="765462"/>
              <a:ext cx="1446514" cy="27531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339686</xdr:colOff>
      <xdr:row>19</xdr:row>
      <xdr:rowOff>114865</xdr:rowOff>
    </xdr:from>
    <xdr:to>
      <xdr:col>16</xdr:col>
      <xdr:colOff>136478</xdr:colOff>
      <xdr:row>34</xdr:row>
      <xdr:rowOff>36724</xdr:rowOff>
    </xdr:to>
    <xdr:graphicFrame macro="">
      <xdr:nvGraphicFramePr>
        <xdr:cNvPr id="76" name="Chart 2">
          <a:extLst>
            <a:ext uri="{FF2B5EF4-FFF2-40B4-BE49-F238E27FC236}">
              <a16:creationId xmlns:a16="http://schemas.microsoft.com/office/drawing/2014/main" id="{50F84F2E-1939-58D1-0331-2F43D3EEA8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72866</xdr:colOff>
      <xdr:row>19</xdr:row>
      <xdr:rowOff>163829</xdr:rowOff>
    </xdr:from>
    <xdr:to>
      <xdr:col>8</xdr:col>
      <xdr:colOff>285750</xdr:colOff>
      <xdr:row>34</xdr:row>
      <xdr:rowOff>66198</xdr:rowOff>
    </xdr:to>
    <mc:AlternateContent xmlns:mc="http://schemas.openxmlformats.org/markup-compatibility/2006" xmlns:a14="http://schemas.microsoft.com/office/drawing/2010/main">
      <mc:Choice Requires="a14">
        <xdr:graphicFrame macro="">
          <xdr:nvGraphicFramePr>
            <xdr:cNvPr id="14" name="Age_Group">
              <a:extLst>
                <a:ext uri="{FF2B5EF4-FFF2-40B4-BE49-F238E27FC236}">
                  <a16:creationId xmlns:a16="http://schemas.microsoft.com/office/drawing/2014/main" id="{9CD0719B-5868-29F2-43DE-E728CECA1456}"/>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3774009" y="3610972"/>
              <a:ext cx="1446598" cy="26237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232940</xdr:colOff>
      <xdr:row>4</xdr:row>
      <xdr:rowOff>71467</xdr:rowOff>
    </xdr:from>
    <xdr:to>
      <xdr:col>27</xdr:col>
      <xdr:colOff>602775</xdr:colOff>
      <xdr:row>34</xdr:row>
      <xdr:rowOff>0</xdr:rowOff>
    </xdr:to>
    <xdr:graphicFrame macro="">
      <xdr:nvGraphicFramePr>
        <xdr:cNvPr id="71" name="Chart 3">
          <a:extLst>
            <a:ext uri="{FF2B5EF4-FFF2-40B4-BE49-F238E27FC236}">
              <a16:creationId xmlns:a16="http://schemas.microsoft.com/office/drawing/2014/main" id="{CEC52E59-2E46-C371-EFE4-E162653C06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28</xdr:col>
      <xdr:colOff>57991</xdr:colOff>
      <xdr:row>19</xdr:row>
      <xdr:rowOff>154676</xdr:rowOff>
    </xdr:from>
    <xdr:to>
      <xdr:col>31</xdr:col>
      <xdr:colOff>522514</xdr:colOff>
      <xdr:row>34</xdr:row>
      <xdr:rowOff>29366</xdr:rowOff>
    </xdr:to>
    <mc:AlternateContent xmlns:mc="http://schemas.openxmlformats.org/markup-compatibility/2006" xmlns:a14="http://schemas.microsoft.com/office/drawing/2010/main">
      <mc:Choice Requires="a14">
        <xdr:graphicFrame macro="">
          <xdr:nvGraphicFramePr>
            <xdr:cNvPr id="23" name="Doctor">
              <a:extLst>
                <a:ext uri="{FF2B5EF4-FFF2-40B4-BE49-F238E27FC236}">
                  <a16:creationId xmlns:a16="http://schemas.microsoft.com/office/drawing/2014/main" id="{280911F9-916E-AA21-DBD9-57CCA9F110A8}"/>
                </a:ext>
              </a:extLst>
            </xdr:cNvPr>
            <xdr:cNvGraphicFramePr/>
          </xdr:nvGraphicFramePr>
          <xdr:xfrm>
            <a:off x="0" y="0"/>
            <a:ext cx="0" cy="0"/>
          </xdr:xfrm>
          <a:graphic>
            <a:graphicData uri="http://schemas.microsoft.com/office/drawing/2010/slicer">
              <sle:slicer xmlns:sle="http://schemas.microsoft.com/office/drawing/2010/slicer" name="Doctor"/>
            </a:graphicData>
          </a:graphic>
        </xdr:graphicFrame>
      </mc:Choice>
      <mc:Fallback xmlns="">
        <xdr:sp macro="" textlink="">
          <xdr:nvSpPr>
            <xdr:cNvPr id="0" name=""/>
            <xdr:cNvSpPr>
              <a:spLocks noTextEdit="1"/>
            </xdr:cNvSpPr>
          </xdr:nvSpPr>
          <xdr:spPr>
            <a:xfrm>
              <a:off x="17329991" y="3601819"/>
              <a:ext cx="2315094" cy="2596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24305</xdr:colOff>
      <xdr:row>4</xdr:row>
      <xdr:rowOff>80662</xdr:rowOff>
    </xdr:from>
    <xdr:to>
      <xdr:col>35</xdr:col>
      <xdr:colOff>555171</xdr:colOff>
      <xdr:row>19</xdr:row>
      <xdr:rowOff>122225</xdr:rowOff>
    </xdr:to>
    <xdr:graphicFrame macro="">
      <xdr:nvGraphicFramePr>
        <xdr:cNvPr id="66" name="Chart 4">
          <a:extLst>
            <a:ext uri="{FF2B5EF4-FFF2-40B4-BE49-F238E27FC236}">
              <a16:creationId xmlns:a16="http://schemas.microsoft.com/office/drawing/2014/main" id="{D026778A-D6B5-E9CB-046F-F693E11830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31</xdr:col>
      <xdr:colOff>542109</xdr:colOff>
      <xdr:row>19</xdr:row>
      <xdr:rowOff>168730</xdr:rowOff>
    </xdr:from>
    <xdr:to>
      <xdr:col>35</xdr:col>
      <xdr:colOff>546339</xdr:colOff>
      <xdr:row>34</xdr:row>
      <xdr:rowOff>36286</xdr:rowOff>
    </xdr:to>
    <mc:AlternateContent xmlns:mc="http://schemas.openxmlformats.org/markup-compatibility/2006" xmlns:a14="http://schemas.microsoft.com/office/drawing/2010/main">
      <mc:Choice Requires="a14">
        <xdr:graphicFrame macro="">
          <xdr:nvGraphicFramePr>
            <xdr:cNvPr id="25" name="Payment_Status">
              <a:extLst>
                <a:ext uri="{FF2B5EF4-FFF2-40B4-BE49-F238E27FC236}">
                  <a16:creationId xmlns:a16="http://schemas.microsoft.com/office/drawing/2014/main" id="{7DF4597D-BD5D-FF7F-DCD2-BBF5978E60DB}"/>
                </a:ext>
              </a:extLst>
            </xdr:cNvPr>
            <xdr:cNvGraphicFramePr/>
          </xdr:nvGraphicFramePr>
          <xdr:xfrm>
            <a:off x="0" y="0"/>
            <a:ext cx="0" cy="0"/>
          </xdr:xfrm>
          <a:graphic>
            <a:graphicData uri="http://schemas.microsoft.com/office/drawing/2010/slicer">
              <sle:slicer xmlns:sle="http://schemas.microsoft.com/office/drawing/2010/slicer" name="Payment_Status"/>
            </a:graphicData>
          </a:graphic>
        </xdr:graphicFrame>
      </mc:Choice>
      <mc:Fallback xmlns="">
        <xdr:sp macro="" textlink="">
          <xdr:nvSpPr>
            <xdr:cNvPr id="0" name=""/>
            <xdr:cNvSpPr>
              <a:spLocks noTextEdit="1"/>
            </xdr:cNvSpPr>
          </xdr:nvSpPr>
          <xdr:spPr>
            <a:xfrm>
              <a:off x="19664680" y="3615873"/>
              <a:ext cx="2471659" cy="25889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62832</xdr:colOff>
      <xdr:row>34</xdr:row>
      <xdr:rowOff>95969</xdr:rowOff>
    </xdr:from>
    <xdr:to>
      <xdr:col>17</xdr:col>
      <xdr:colOff>438728</xdr:colOff>
      <xdr:row>49</xdr:row>
      <xdr:rowOff>51365</xdr:rowOff>
    </xdr:to>
    <xdr:graphicFrame macro="">
      <xdr:nvGraphicFramePr>
        <xdr:cNvPr id="61" name="Chart 5">
          <a:extLst>
            <a:ext uri="{FF2B5EF4-FFF2-40B4-BE49-F238E27FC236}">
              <a16:creationId xmlns:a16="http://schemas.microsoft.com/office/drawing/2014/main" id="{DB7A31F1-0D1A-71B2-6ECB-2D34B28C66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523395</xdr:colOff>
      <xdr:row>34</xdr:row>
      <xdr:rowOff>128869</xdr:rowOff>
    </xdr:from>
    <xdr:to>
      <xdr:col>22</xdr:col>
      <xdr:colOff>88490</xdr:colOff>
      <xdr:row>49</xdr:row>
      <xdr:rowOff>71755</xdr:rowOff>
    </xdr:to>
    <mc:AlternateContent xmlns:mc="http://schemas.openxmlformats.org/markup-compatibility/2006" xmlns:a14="http://schemas.microsoft.com/office/drawing/2010/main">
      <mc:Choice Requires="a14">
        <xdr:graphicFrame macro="">
          <xdr:nvGraphicFramePr>
            <xdr:cNvPr id="39" name="Gender">
              <a:extLst>
                <a:ext uri="{FF2B5EF4-FFF2-40B4-BE49-F238E27FC236}">
                  <a16:creationId xmlns:a16="http://schemas.microsoft.com/office/drawing/2014/main" id="{4D9E82A4-B275-38DF-63A5-2E254D83F32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009966" y="6297440"/>
              <a:ext cx="2649381" cy="26643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138546</xdr:colOff>
      <xdr:row>34</xdr:row>
      <xdr:rowOff>111535</xdr:rowOff>
    </xdr:from>
    <xdr:to>
      <xdr:col>31</xdr:col>
      <xdr:colOff>503075</xdr:colOff>
      <xdr:row>49</xdr:row>
      <xdr:rowOff>78878</xdr:rowOff>
    </xdr:to>
    <xdr:graphicFrame macro="">
      <xdr:nvGraphicFramePr>
        <xdr:cNvPr id="56" name="Chart 6">
          <a:extLst>
            <a:ext uri="{FF2B5EF4-FFF2-40B4-BE49-F238E27FC236}">
              <a16:creationId xmlns:a16="http://schemas.microsoft.com/office/drawing/2014/main" id="{7F972B61-C8C1-995A-EC20-0B75466EBE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31</xdr:col>
      <xdr:colOff>560413</xdr:colOff>
      <xdr:row>34</xdr:row>
      <xdr:rowOff>97838</xdr:rowOff>
    </xdr:from>
    <xdr:to>
      <xdr:col>35</xdr:col>
      <xdr:colOff>542667</xdr:colOff>
      <xdr:row>49</xdr:row>
      <xdr:rowOff>63983</xdr:rowOff>
    </xdr:to>
    <mc:AlternateContent xmlns:mc="http://schemas.openxmlformats.org/markup-compatibility/2006" xmlns:a14="http://schemas.microsoft.com/office/drawing/2010/main">
      <mc:Choice Requires="a14">
        <xdr:graphicFrame macro="">
          <xdr:nvGraphicFramePr>
            <xdr:cNvPr id="41" name="Insurance">
              <a:extLst>
                <a:ext uri="{FF2B5EF4-FFF2-40B4-BE49-F238E27FC236}">
                  <a16:creationId xmlns:a16="http://schemas.microsoft.com/office/drawing/2014/main" id="{3F11A8E1-D8C1-B0C0-1060-44B43CE0F482}"/>
                </a:ext>
              </a:extLst>
            </xdr:cNvPr>
            <xdr:cNvGraphicFramePr/>
          </xdr:nvGraphicFramePr>
          <xdr:xfrm>
            <a:off x="0" y="0"/>
            <a:ext cx="0" cy="0"/>
          </xdr:xfrm>
          <a:graphic>
            <a:graphicData uri="http://schemas.microsoft.com/office/drawing/2010/slicer">
              <sle:slicer xmlns:sle="http://schemas.microsoft.com/office/drawing/2010/slicer" name="Insurance"/>
            </a:graphicData>
          </a:graphic>
        </xdr:graphicFrame>
      </mc:Choice>
      <mc:Fallback xmlns="">
        <xdr:sp macro="" textlink="">
          <xdr:nvSpPr>
            <xdr:cNvPr id="0" name=""/>
            <xdr:cNvSpPr>
              <a:spLocks noTextEdit="1"/>
            </xdr:cNvSpPr>
          </xdr:nvSpPr>
          <xdr:spPr>
            <a:xfrm>
              <a:off x="19682984" y="6266409"/>
              <a:ext cx="2449683" cy="26875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81337</xdr:colOff>
      <xdr:row>51</xdr:row>
      <xdr:rowOff>151284</xdr:rowOff>
    </xdr:from>
    <xdr:to>
      <xdr:col>6</xdr:col>
      <xdr:colOff>190500</xdr:colOff>
      <xdr:row>58</xdr:row>
      <xdr:rowOff>149224</xdr:rowOff>
    </xdr:to>
    <xdr:sp macro="" textlink="">
      <xdr:nvSpPr>
        <xdr:cNvPr id="43" name="Insight_Age">
          <a:extLst>
            <a:ext uri="{FF2B5EF4-FFF2-40B4-BE49-F238E27FC236}">
              <a16:creationId xmlns:a16="http://schemas.microsoft.com/office/drawing/2014/main" id="{E10FC766-870D-4FC6-8960-0B57B56B61EE}"/>
            </a:ext>
          </a:extLst>
        </xdr:cNvPr>
        <xdr:cNvSpPr/>
      </xdr:nvSpPr>
      <xdr:spPr>
        <a:xfrm>
          <a:off x="81337" y="9485784"/>
          <a:ext cx="3728663" cy="1331440"/>
        </a:xfrm>
        <a:prstGeom prst="rect">
          <a:avLst/>
        </a:prstGeom>
        <a:solidFill>
          <a:srgbClr val="E8F3F1"/>
        </a:solidFill>
        <a:ln w="25400" cap="flat" cmpd="sng" algn="ctr">
          <a:solidFill>
            <a:srgbClr val="0F766E"/>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100" b="1" i="0" u="none" strike="noStrike" kern="0" cap="none" spc="0" normalizeH="0" baseline="0" noProof="0">
              <a:ln>
                <a:noFill/>
              </a:ln>
              <a:solidFill>
                <a:srgbClr val="172033"/>
              </a:solidFill>
              <a:effectLst/>
              <a:uLnTx/>
              <a:uFillTx/>
              <a:latin typeface="Aptos"/>
            </a:rPr>
            <a:t>SENIOR-HEAVY CASE MIX
66+ is the largest age group: 121 patients (24.2%).</a:t>
          </a:r>
        </a:p>
      </xdr:txBody>
    </xdr:sp>
    <xdr:clientData/>
  </xdr:twoCellAnchor>
  <xdr:twoCellAnchor>
    <xdr:from>
      <xdr:col>6</xdr:col>
      <xdr:colOff>230948</xdr:colOff>
      <xdr:row>51</xdr:row>
      <xdr:rowOff>159173</xdr:rowOff>
    </xdr:from>
    <xdr:to>
      <xdr:col>12</xdr:col>
      <xdr:colOff>0</xdr:colOff>
      <xdr:row>58</xdr:row>
      <xdr:rowOff>157113</xdr:rowOff>
    </xdr:to>
    <xdr:sp macro="" textlink="">
      <xdr:nvSpPr>
        <xdr:cNvPr id="44" name="Insight_City">
          <a:extLst>
            <a:ext uri="{FF2B5EF4-FFF2-40B4-BE49-F238E27FC236}">
              <a16:creationId xmlns:a16="http://schemas.microsoft.com/office/drawing/2014/main" id="{40C62FBA-EE49-41D2-9E01-AF0E536E89A1}"/>
            </a:ext>
          </a:extLst>
        </xdr:cNvPr>
        <xdr:cNvSpPr/>
      </xdr:nvSpPr>
      <xdr:spPr>
        <a:xfrm>
          <a:off x="3850448" y="9493673"/>
          <a:ext cx="3388552" cy="1331440"/>
        </a:xfrm>
        <a:prstGeom prst="rect">
          <a:avLst/>
        </a:prstGeom>
        <a:solidFill>
          <a:srgbClr val="EAF0FB"/>
        </a:solidFill>
        <a:ln w="25400" cap="flat" cmpd="sng" algn="ctr">
          <a:solidFill>
            <a:srgbClr val="1D4ED8"/>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100" b="1" i="0" u="none" strike="noStrike" kern="0" cap="none" spc="0" normalizeH="0" baseline="0" noProof="0">
              <a:ln>
                <a:noFill/>
              </a:ln>
              <a:solidFill>
                <a:srgbClr val="172033"/>
              </a:solidFill>
              <a:effectLst/>
              <a:uLnTx/>
              <a:uFillTx/>
              <a:latin typeface="Aptos"/>
            </a:rPr>
            <a:t>TOP BILLING MARKET
Hyderabad generated ₹1.07 Cr (11.7% of billing).</a:t>
          </a:r>
        </a:p>
      </xdr:txBody>
    </xdr:sp>
    <xdr:clientData/>
  </xdr:twoCellAnchor>
  <xdr:twoCellAnchor>
    <xdr:from>
      <xdr:col>12</xdr:col>
      <xdr:colOff>56061</xdr:colOff>
      <xdr:row>51</xdr:row>
      <xdr:rowOff>166498</xdr:rowOff>
    </xdr:from>
    <xdr:to>
      <xdr:col>18</xdr:col>
      <xdr:colOff>95250</xdr:colOff>
      <xdr:row>58</xdr:row>
      <xdr:rowOff>164437</xdr:rowOff>
    </xdr:to>
    <xdr:sp macro="" textlink="">
      <xdr:nvSpPr>
        <xdr:cNvPr id="45" name="Insight_Doctor">
          <a:extLst>
            <a:ext uri="{FF2B5EF4-FFF2-40B4-BE49-F238E27FC236}">
              <a16:creationId xmlns:a16="http://schemas.microsoft.com/office/drawing/2014/main" id="{91396FD1-136A-4ABA-BF96-B1DBB531FD6F}"/>
            </a:ext>
          </a:extLst>
        </xdr:cNvPr>
        <xdr:cNvSpPr/>
      </xdr:nvSpPr>
      <xdr:spPr>
        <a:xfrm>
          <a:off x="7295061" y="9500998"/>
          <a:ext cx="3658689" cy="1331439"/>
        </a:xfrm>
        <a:prstGeom prst="rect">
          <a:avLst/>
        </a:prstGeom>
        <a:solidFill>
          <a:srgbClr val="F2ECFA"/>
        </a:solidFill>
        <a:ln w="25400" cap="flat" cmpd="sng" algn="ctr">
          <a:solidFill>
            <a:srgbClr val="7C3AED"/>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100" b="1" i="0" u="none" strike="noStrike" kern="0" cap="none" spc="0" normalizeH="0" baseline="0" noProof="0">
              <a:ln>
                <a:noFill/>
              </a:ln>
              <a:solidFill>
                <a:srgbClr val="172033"/>
              </a:solidFill>
              <a:effectLst/>
              <a:uLnTx/>
              <a:uFillTx/>
              <a:latin typeface="Aptos"/>
            </a:rPr>
            <a:t>HIGHEST DOCTOR LOAD
Dr. Suresh Advani handled 32 patients (6.4% of records).</a:t>
          </a:r>
        </a:p>
      </xdr:txBody>
    </xdr:sp>
    <xdr:clientData/>
  </xdr:twoCellAnchor>
  <xdr:twoCellAnchor>
    <xdr:from>
      <xdr:col>18</xdr:col>
      <xdr:colOff>165780</xdr:colOff>
      <xdr:row>51</xdr:row>
      <xdr:rowOff>165886</xdr:rowOff>
    </xdr:from>
    <xdr:to>
      <xdr:col>24</xdr:col>
      <xdr:colOff>365125</xdr:colOff>
      <xdr:row>58</xdr:row>
      <xdr:rowOff>163826</xdr:rowOff>
    </xdr:to>
    <xdr:sp macro="" textlink="">
      <xdr:nvSpPr>
        <xdr:cNvPr id="46" name="Insight_Department">
          <a:extLst>
            <a:ext uri="{FF2B5EF4-FFF2-40B4-BE49-F238E27FC236}">
              <a16:creationId xmlns:a16="http://schemas.microsoft.com/office/drawing/2014/main" id="{05688B3E-DCE5-4AD0-8B87-EEC61649474B}"/>
            </a:ext>
          </a:extLst>
        </xdr:cNvPr>
        <xdr:cNvSpPr/>
      </xdr:nvSpPr>
      <xdr:spPr>
        <a:xfrm>
          <a:off x="11024280" y="9500386"/>
          <a:ext cx="3818845" cy="1331440"/>
        </a:xfrm>
        <a:prstGeom prst="rect">
          <a:avLst/>
        </a:prstGeom>
        <a:solidFill>
          <a:srgbClr val="FFF4E5"/>
        </a:solidFill>
        <a:ln w="25400" cap="flat" cmpd="sng" algn="ctr">
          <a:solidFill>
            <a:srgbClr val="B45309"/>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100" b="1" i="0" u="none" strike="noStrike" kern="0" cap="none" spc="0" normalizeH="0" baseline="0" noProof="0">
              <a:ln>
                <a:noFill/>
              </a:ln>
              <a:solidFill>
                <a:srgbClr val="172033"/>
              </a:solidFill>
              <a:effectLst/>
              <a:uLnTx/>
              <a:uFillTx/>
              <a:latin typeface="Aptos"/>
            </a:rPr>
            <a:t>ONCOLOGY LEADS DEMAND
Oncology recorded 82 patients (16.4% of total volume).</a:t>
          </a:r>
        </a:p>
      </xdr:txBody>
    </xdr:sp>
    <xdr:clientData/>
  </xdr:twoCellAnchor>
  <xdr:twoCellAnchor>
    <xdr:from>
      <xdr:col>30</xdr:col>
      <xdr:colOff>488052</xdr:colOff>
      <xdr:row>51</xdr:row>
      <xdr:rowOff>177010</xdr:rowOff>
    </xdr:from>
    <xdr:to>
      <xdr:col>35</xdr:col>
      <xdr:colOff>542481</xdr:colOff>
      <xdr:row>59</xdr:row>
      <xdr:rowOff>1141</xdr:rowOff>
    </xdr:to>
    <xdr:sp macro="" textlink="">
      <xdr:nvSpPr>
        <xdr:cNvPr id="47" name="Insight_Payment">
          <a:extLst>
            <a:ext uri="{FF2B5EF4-FFF2-40B4-BE49-F238E27FC236}">
              <a16:creationId xmlns:a16="http://schemas.microsoft.com/office/drawing/2014/main" id="{9D061863-7048-4451-8FC4-70797F87563F}"/>
            </a:ext>
          </a:extLst>
        </xdr:cNvPr>
        <xdr:cNvSpPr/>
      </xdr:nvSpPr>
      <xdr:spPr>
        <a:xfrm>
          <a:off x="18799989" y="9169408"/>
          <a:ext cx="3106419" cy="1292278"/>
        </a:xfrm>
        <a:prstGeom prst="rect">
          <a:avLst/>
        </a:prstGeom>
        <a:solidFill>
          <a:srgbClr val="FDECEF"/>
        </a:solidFill>
        <a:ln w="25400" cap="flat" cmpd="sng" algn="ctr">
          <a:solidFill>
            <a:srgbClr val="BE123C"/>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100" b="1" i="0" u="none" strike="noStrike" kern="0" cap="none" spc="0" normalizeH="0" baseline="0" noProof="0">
              <a:ln>
                <a:noFill/>
              </a:ln>
              <a:solidFill>
                <a:srgbClr val="172033"/>
              </a:solidFill>
              <a:effectLst/>
              <a:uLnTx/>
              <a:uFillTx/>
              <a:latin typeface="Aptos"/>
            </a:rPr>
            <a:t>PAYMENT FOLLOW-UP NEEDED
279 cases (55.8%) are disputed, pending, partial or unpaid.</a:t>
          </a:r>
        </a:p>
      </xdr:txBody>
    </xdr:sp>
    <xdr:clientData/>
  </xdr:twoCellAnchor>
  <xdr:twoCellAnchor>
    <xdr:from>
      <xdr:col>24</xdr:col>
      <xdr:colOff>411150</xdr:colOff>
      <xdr:row>51</xdr:row>
      <xdr:rowOff>167073</xdr:rowOff>
    </xdr:from>
    <xdr:to>
      <xdr:col>30</xdr:col>
      <xdr:colOff>435430</xdr:colOff>
      <xdr:row>58</xdr:row>
      <xdr:rowOff>165013</xdr:rowOff>
    </xdr:to>
    <xdr:sp macro="" textlink="">
      <xdr:nvSpPr>
        <xdr:cNvPr id="48" name="Insight_Stay">
          <a:extLst>
            <a:ext uri="{FF2B5EF4-FFF2-40B4-BE49-F238E27FC236}">
              <a16:creationId xmlns:a16="http://schemas.microsoft.com/office/drawing/2014/main" id="{E08BC3A2-2955-4AA6-80C7-EF1B2D75D943}"/>
            </a:ext>
          </a:extLst>
        </xdr:cNvPr>
        <xdr:cNvSpPr/>
      </xdr:nvSpPr>
      <xdr:spPr>
        <a:xfrm>
          <a:off x="14998007" y="9057073"/>
          <a:ext cx="3670994" cy="1267940"/>
        </a:xfrm>
        <a:prstGeom prst="rect">
          <a:avLst/>
        </a:prstGeom>
        <a:solidFill>
          <a:srgbClr val="E9F4FA"/>
        </a:solidFill>
        <a:ln w="25400" cap="flat" cmpd="sng" algn="ctr">
          <a:solidFill>
            <a:srgbClr val="0369A1"/>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100" b="1" i="0" u="none" strike="noStrike" kern="0" cap="none" spc="0" normalizeH="0" baseline="0" noProof="0">
              <a:ln>
                <a:noFill/>
              </a:ln>
              <a:solidFill>
                <a:srgbClr val="172033"/>
              </a:solidFill>
              <a:effectLst/>
              <a:uLnTx/>
              <a:uFillTx/>
              <a:latin typeface="Aptos"/>
            </a:rPr>
            <a:t>AVERAGE LENGTH OF STAY
Patients stayed 21.3 days on average across 500 valid stays.</a:t>
          </a:r>
        </a:p>
      </xdr:txBody>
    </xdr:sp>
    <xdr:clientData/>
  </xdr:twoCellAnchor>
  <xdr:twoCellAnchor>
    <xdr:from>
      <xdr:col>0</xdr:col>
      <xdr:colOff>0</xdr:colOff>
      <xdr:row>59</xdr:row>
      <xdr:rowOff>22134</xdr:rowOff>
    </xdr:from>
    <xdr:to>
      <xdr:col>36</xdr:col>
      <xdr:colOff>20594</xdr:colOff>
      <xdr:row>66</xdr:row>
      <xdr:rowOff>22135</xdr:rowOff>
    </xdr:to>
    <xdr:sp macro="" textlink="">
      <xdr:nvSpPr>
        <xdr:cNvPr id="50" name="Dashboard_Conclusion">
          <a:extLst>
            <a:ext uri="{FF2B5EF4-FFF2-40B4-BE49-F238E27FC236}">
              <a16:creationId xmlns:a16="http://schemas.microsoft.com/office/drawing/2014/main" id="{E8CD6056-E798-43AD-AE32-EA027C906DB1}"/>
            </a:ext>
          </a:extLst>
        </xdr:cNvPr>
        <xdr:cNvSpPr/>
      </xdr:nvSpPr>
      <xdr:spPr>
        <a:xfrm>
          <a:off x="0" y="10587161"/>
          <a:ext cx="22262756" cy="1297460"/>
        </a:xfrm>
        <a:prstGeom prst="rect">
          <a:avLst/>
        </a:prstGeom>
        <a:solidFill>
          <a:srgbClr val="0B1F33"/>
        </a:solidFill>
        <a:ln w="25400" cap="flat" cmpd="sng" algn="ctr">
          <a:solidFill>
            <a:srgbClr val="14B8A6"/>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2400" b="1" i="0" u="none" strike="noStrike" kern="0" cap="none" spc="0" normalizeH="0" baseline="0" noProof="0">
              <a:ln>
                <a:noFill/>
              </a:ln>
              <a:solidFill>
                <a:srgbClr val="FFFFFF"/>
              </a:solidFill>
              <a:effectLst/>
              <a:uLnTx/>
              <a:uFillTx/>
              <a:latin typeface="Aptos"/>
            </a:rPr>
            <a:t>CONCLUSION</a:t>
          </a:r>
          <a:r>
            <a:rPr kumimoji="0" lang="en-US" sz="1300" b="1" i="0" u="none" strike="noStrike" kern="0" cap="none" spc="0" normalizeH="0" baseline="0" noProof="0">
              <a:ln>
                <a:noFill/>
              </a:ln>
              <a:solidFill>
                <a:srgbClr val="FFFFFF"/>
              </a:solidFill>
              <a:effectLst/>
              <a:uLnTx/>
              <a:uFillTx/>
              <a:latin typeface="Aptos"/>
            </a:rPr>
            <a:t>
</a:t>
          </a:r>
          <a:r>
            <a:rPr kumimoji="0" lang="en-US" sz="1600" b="1" i="0" u="none" strike="noStrike" kern="0" cap="none" spc="0" normalizeH="0" baseline="0" noProof="0">
              <a:ln>
                <a:noFill/>
              </a:ln>
              <a:solidFill>
                <a:srgbClr val="FFFFFF"/>
              </a:solidFill>
              <a:effectLst/>
              <a:uLnTx/>
              <a:uFillTx/>
              <a:latin typeface="Aptos"/>
            </a:rPr>
            <a:t>The hospital manages a senior- and oncology-heavy patient mix while generating ₹9.20 Cr in billing. However, 55.8% of cases remain disputed, pending, partially paid or unpaid—making payment recovery and claims follow-up the clearest priority, alongside capacity planning for high-demand services.</a:t>
          </a:r>
          <a:endParaRPr kumimoji="0" lang="en-US" sz="1300" b="1" i="0" u="none" strike="noStrike" kern="0" cap="none" spc="0" normalizeH="0" baseline="0" noProof="0">
            <a:ln>
              <a:noFill/>
            </a:ln>
            <a:solidFill>
              <a:srgbClr val="FFFFFF"/>
            </a:solidFill>
            <a:effectLst/>
            <a:uLnTx/>
            <a:uFillTx/>
            <a:latin typeface="Aptos"/>
          </a:endParaRPr>
        </a:p>
      </xdr:txBody>
    </xdr:sp>
    <xdr:clientData/>
  </xdr:twoCellAnchor>
  <xdr:twoCellAnchor>
    <xdr:from>
      <xdr:col>0</xdr:col>
      <xdr:colOff>0</xdr:colOff>
      <xdr:row>49</xdr:row>
      <xdr:rowOff>103187</xdr:rowOff>
    </xdr:from>
    <xdr:to>
      <xdr:col>36</xdr:col>
      <xdr:colOff>65852</xdr:colOff>
      <xdr:row>51</xdr:row>
      <xdr:rowOff>112891</xdr:rowOff>
    </xdr:to>
    <xdr:sp macro="" textlink="">
      <xdr:nvSpPr>
        <xdr:cNvPr id="42" name="Insight_Heading">
          <a:extLst>
            <a:ext uri="{FF2B5EF4-FFF2-40B4-BE49-F238E27FC236}">
              <a16:creationId xmlns:a16="http://schemas.microsoft.com/office/drawing/2014/main" id="{88F4E1C0-BFC3-4F28-83C9-7CBBF9956856}"/>
            </a:ext>
          </a:extLst>
        </xdr:cNvPr>
        <xdr:cNvSpPr/>
      </xdr:nvSpPr>
      <xdr:spPr>
        <a:xfrm>
          <a:off x="0" y="8504002"/>
          <a:ext cx="22079185" cy="367185"/>
        </a:xfrm>
        <a:prstGeom prst="rect">
          <a:avLst/>
        </a:prstGeom>
        <a:solidFill>
          <a:srgbClr val="0B1F33"/>
        </a:solidFill>
        <a:ln w="19050" cap="flat" cmpd="sng" algn="ctr">
          <a:solidFill>
            <a:srgbClr val="0B1F33"/>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500" b="1" i="0" u="none" strike="noStrike" kern="0" cap="none" spc="0" normalizeH="0" baseline="0" noProof="0">
              <a:ln>
                <a:noFill/>
              </a:ln>
              <a:solidFill>
                <a:srgbClr val="FFFFFF"/>
              </a:solidFill>
              <a:effectLst/>
              <a:uLnTx/>
              <a:uFillTx/>
              <a:latin typeface="Aptos Display"/>
            </a:rPr>
            <a:t>KEY INSIGHTS FROM 500 PATIENT RECORDS</a:t>
          </a:r>
        </a:p>
      </xdr:txBody>
    </xdr:sp>
    <xdr:clientData/>
  </xdr:twoCellAnchor>
  <xdr:twoCellAnchor>
    <xdr:from>
      <xdr:col>0</xdr:col>
      <xdr:colOff>0</xdr:colOff>
      <xdr:row>66</xdr:row>
      <xdr:rowOff>164680</xdr:rowOff>
    </xdr:from>
    <xdr:to>
      <xdr:col>35</xdr:col>
      <xdr:colOff>581525</xdr:colOff>
      <xdr:row>68</xdr:row>
      <xdr:rowOff>167105</xdr:rowOff>
    </xdr:to>
    <xdr:sp macro="" textlink="">
      <xdr:nvSpPr>
        <xdr:cNvPr id="85" name="Insight_Heading">
          <a:extLst>
            <a:ext uri="{FF2B5EF4-FFF2-40B4-BE49-F238E27FC236}">
              <a16:creationId xmlns:a16="http://schemas.microsoft.com/office/drawing/2014/main" id="{3E0E82DF-F66E-4A9E-9E14-DDF86FC0F783}"/>
            </a:ext>
          </a:extLst>
        </xdr:cNvPr>
        <xdr:cNvSpPr/>
      </xdr:nvSpPr>
      <xdr:spPr>
        <a:xfrm>
          <a:off x="0" y="11714996"/>
          <a:ext cx="21870736" cy="363372"/>
        </a:xfrm>
        <a:prstGeom prst="rect">
          <a:avLst/>
        </a:prstGeom>
        <a:solidFill>
          <a:srgbClr val="0B1F33"/>
        </a:solidFill>
        <a:ln w="19050" cap="flat" cmpd="sng" algn="ctr">
          <a:solidFill>
            <a:srgbClr val="0B1F33"/>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0" lang="en-US" sz="1500" b="1" i="0" u="none" strike="noStrike" kern="0" cap="none" spc="0" normalizeH="0" baseline="0" noProof="0">
            <a:ln>
              <a:noFill/>
            </a:ln>
            <a:solidFill>
              <a:srgbClr val="FFFFFF"/>
            </a:solidFill>
            <a:effectLst/>
            <a:uLnTx/>
            <a:uFillTx/>
            <a:latin typeface="Aptos Display"/>
          </a:endParaRPr>
        </a:p>
        <a:p>
          <a:pPr algn="ctr"/>
          <a:endParaRPr kumimoji="0" lang="en-US" sz="1500" b="1" i="0" u="none" strike="noStrike" kern="0" cap="none" spc="0" normalizeH="0" baseline="0" noProof="0">
            <a:ln>
              <a:noFill/>
            </a:ln>
            <a:solidFill>
              <a:srgbClr val="FFFFFF"/>
            </a:solidFill>
            <a:effectLst/>
            <a:uLnTx/>
            <a:uFillTx/>
            <a:latin typeface="Aptos Display"/>
          </a:endParaRPr>
        </a:p>
      </xdr:txBody>
    </xdr:sp>
    <xdr:clientData/>
  </xdr:twoCellAnchor>
  <xdr:twoCellAnchor>
    <xdr:from>
      <xdr:col>36</xdr:col>
      <xdr:colOff>60949</xdr:colOff>
      <xdr:row>2</xdr:row>
      <xdr:rowOff>0</xdr:rowOff>
    </xdr:from>
    <xdr:to>
      <xdr:col>36</xdr:col>
      <xdr:colOff>444374</xdr:colOff>
      <xdr:row>68</xdr:row>
      <xdr:rowOff>122296</xdr:rowOff>
    </xdr:to>
    <xdr:sp macro="" textlink="">
      <xdr:nvSpPr>
        <xdr:cNvPr id="86" name="Insight_Heading">
          <a:extLst>
            <a:ext uri="{FF2B5EF4-FFF2-40B4-BE49-F238E27FC236}">
              <a16:creationId xmlns:a16="http://schemas.microsoft.com/office/drawing/2014/main" id="{39FAB22C-3A86-4550-8A02-50EAA053F9D7}"/>
            </a:ext>
          </a:extLst>
        </xdr:cNvPr>
        <xdr:cNvSpPr/>
      </xdr:nvSpPr>
      <xdr:spPr>
        <a:xfrm rot="5400000">
          <a:off x="16306402" y="5767880"/>
          <a:ext cx="11919185" cy="383425"/>
        </a:xfrm>
        <a:prstGeom prst="rect">
          <a:avLst/>
        </a:prstGeom>
        <a:solidFill>
          <a:srgbClr val="0B1F33"/>
        </a:solidFill>
        <a:ln w="19050" cap="flat" cmpd="sng" algn="ctr">
          <a:solidFill>
            <a:srgbClr val="0B1F33"/>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0" lang="en-US" sz="1500" b="1" i="0" u="none" strike="noStrike" kern="0" cap="none" spc="0" normalizeH="0" baseline="0" noProof="0">
            <a:ln>
              <a:noFill/>
            </a:ln>
            <a:solidFill>
              <a:srgbClr val="FFFFFF"/>
            </a:solidFill>
            <a:effectLst/>
            <a:uLnTx/>
            <a:uFillTx/>
            <a:latin typeface="Aptos Display"/>
          </a:endParaRPr>
        </a:p>
        <a:p>
          <a:pPr algn="ctr"/>
          <a:endParaRPr kumimoji="0" lang="en-US" sz="1500" b="1" i="0" u="none" strike="noStrike" kern="0" cap="none" spc="0" normalizeH="0" baseline="0" noProof="0">
            <a:ln>
              <a:noFill/>
            </a:ln>
            <a:solidFill>
              <a:srgbClr val="FFFFFF"/>
            </a:solidFill>
            <a:effectLst/>
            <a:uLnTx/>
            <a:uFillTx/>
            <a:latin typeface="Aptos Display"/>
          </a:endParaRPr>
        </a:p>
      </xdr:txBody>
    </xdr:sp>
    <xdr:clientData/>
  </xdr:twoCellAnchor>
  <xdr:twoCellAnchor>
    <xdr:from>
      <xdr:col>34</xdr:col>
      <xdr:colOff>434876</xdr:colOff>
      <xdr:row>0</xdr:row>
      <xdr:rowOff>0</xdr:rowOff>
    </xdr:from>
    <xdr:to>
      <xdr:col>36</xdr:col>
      <xdr:colOff>464206</xdr:colOff>
      <xdr:row>8</xdr:row>
      <xdr:rowOff>18361</xdr:rowOff>
    </xdr:to>
    <xdr:sp macro="" textlink="">
      <xdr:nvSpPr>
        <xdr:cNvPr id="26" name="Half Frame 25">
          <a:extLst>
            <a:ext uri="{FF2B5EF4-FFF2-40B4-BE49-F238E27FC236}">
              <a16:creationId xmlns:a16="http://schemas.microsoft.com/office/drawing/2014/main" id="{3D6B8B8B-1A47-868C-C241-A6100540976D}"/>
            </a:ext>
          </a:extLst>
        </xdr:cNvPr>
        <xdr:cNvSpPr/>
      </xdr:nvSpPr>
      <xdr:spPr>
        <a:xfrm rot="5400000">
          <a:off x="21163044" y="124612"/>
          <a:ext cx="1505190" cy="1255965"/>
        </a:xfrm>
        <a:prstGeom prst="halfFrame">
          <a:avLst>
            <a:gd name="adj1" fmla="val 37772"/>
            <a:gd name="adj2" fmla="val 6004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34</xdr:col>
      <xdr:colOff>544201</xdr:colOff>
      <xdr:row>62</xdr:row>
      <xdr:rowOff>9796</xdr:rowOff>
    </xdr:from>
    <xdr:to>
      <xdr:col>36</xdr:col>
      <xdr:colOff>462410</xdr:colOff>
      <xdr:row>68</xdr:row>
      <xdr:rowOff>167705</xdr:rowOff>
    </xdr:to>
    <xdr:sp macro="" textlink="">
      <xdr:nvSpPr>
        <xdr:cNvPr id="51" name="Half Frame 50">
          <a:extLst>
            <a:ext uri="{FF2B5EF4-FFF2-40B4-BE49-F238E27FC236}">
              <a16:creationId xmlns:a16="http://schemas.microsoft.com/office/drawing/2014/main" id="{D2434B30-43BE-4727-B6CA-334D4D2F686F}"/>
            </a:ext>
          </a:extLst>
        </xdr:cNvPr>
        <xdr:cNvSpPr/>
      </xdr:nvSpPr>
      <xdr:spPr>
        <a:xfrm rot="10800000">
          <a:off x="21359175" y="10951334"/>
          <a:ext cx="1142620" cy="1252063"/>
        </a:xfrm>
        <a:prstGeom prst="halfFrame">
          <a:avLst>
            <a:gd name="adj1" fmla="val 34724"/>
            <a:gd name="adj2" fmla="val 3549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0</xdr:col>
      <xdr:colOff>1</xdr:colOff>
      <xdr:row>4</xdr:row>
      <xdr:rowOff>182126</xdr:rowOff>
    </xdr:from>
    <xdr:to>
      <xdr:col>5</xdr:col>
      <xdr:colOff>558800</xdr:colOff>
      <xdr:row>7</xdr:row>
      <xdr:rowOff>1671</xdr:rowOff>
    </xdr:to>
    <xdr:sp macro="" textlink="">
      <xdr:nvSpPr>
        <xdr:cNvPr id="89" name="Insight_Heading">
          <a:extLst>
            <a:ext uri="{FF2B5EF4-FFF2-40B4-BE49-F238E27FC236}">
              <a16:creationId xmlns:a16="http://schemas.microsoft.com/office/drawing/2014/main" id="{518231C4-4809-4B3B-89D7-24E89C888BCE}"/>
            </a:ext>
          </a:extLst>
        </xdr:cNvPr>
        <xdr:cNvSpPr/>
      </xdr:nvSpPr>
      <xdr:spPr>
        <a:xfrm>
          <a:off x="1" y="927193"/>
          <a:ext cx="3606799" cy="378345"/>
        </a:xfrm>
        <a:prstGeom prst="rect">
          <a:avLst/>
        </a:prstGeom>
        <a:solidFill>
          <a:srgbClr val="0B1F33"/>
        </a:solidFill>
        <a:ln w="19050" cap="flat" cmpd="sng" algn="ctr">
          <a:solidFill>
            <a:srgbClr val="0B1F33"/>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0" lang="en-US" sz="1500" b="1" i="0" u="none" strike="noStrike" kern="0" cap="none" spc="0" normalizeH="0" baseline="0" noProof="0">
            <a:ln>
              <a:noFill/>
            </a:ln>
            <a:solidFill>
              <a:srgbClr val="FFFFFF"/>
            </a:solidFill>
            <a:effectLst/>
            <a:uLnTx/>
            <a:uFillTx/>
            <a:latin typeface="Aptos Display"/>
          </a:endParaRPr>
        </a:p>
        <a:p>
          <a:pPr algn="ctr"/>
          <a:endParaRPr kumimoji="0" lang="en-US" sz="1500" b="1" i="0" u="none" strike="noStrike" kern="0" cap="none" spc="0" normalizeH="0" baseline="0" noProof="0">
            <a:ln>
              <a:noFill/>
            </a:ln>
            <a:solidFill>
              <a:srgbClr val="FFFFFF"/>
            </a:solidFill>
            <a:effectLst/>
            <a:uLnTx/>
            <a:uFillTx/>
            <a:latin typeface="Aptos Display"/>
          </a:endParaRPr>
        </a:p>
      </xdr:txBody>
    </xdr:sp>
    <xdr:clientData/>
  </xdr:twoCellAnchor>
  <xdr:twoCellAnchor>
    <xdr:from>
      <xdr:col>0</xdr:col>
      <xdr:colOff>0</xdr:colOff>
      <xdr:row>3</xdr:row>
      <xdr:rowOff>97459</xdr:rowOff>
    </xdr:from>
    <xdr:to>
      <xdr:col>5</xdr:col>
      <xdr:colOff>558799</xdr:colOff>
      <xdr:row>5</xdr:row>
      <xdr:rowOff>103271</xdr:rowOff>
    </xdr:to>
    <xdr:sp macro="" textlink="">
      <xdr:nvSpPr>
        <xdr:cNvPr id="91" name="Insight_Heading">
          <a:extLst>
            <a:ext uri="{FF2B5EF4-FFF2-40B4-BE49-F238E27FC236}">
              <a16:creationId xmlns:a16="http://schemas.microsoft.com/office/drawing/2014/main" id="{B6EE5822-BD8A-434C-9BBE-4135F7F3480F}"/>
            </a:ext>
          </a:extLst>
        </xdr:cNvPr>
        <xdr:cNvSpPr/>
      </xdr:nvSpPr>
      <xdr:spPr>
        <a:xfrm>
          <a:off x="0" y="656259"/>
          <a:ext cx="3606799" cy="378345"/>
        </a:xfrm>
        <a:prstGeom prst="rect">
          <a:avLst/>
        </a:prstGeom>
        <a:solidFill>
          <a:srgbClr val="0B1F33"/>
        </a:solidFill>
        <a:ln w="19050" cap="flat" cmpd="sng" algn="ctr">
          <a:solidFill>
            <a:srgbClr val="0B1F33"/>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0" lang="en-US" sz="1500" b="1" i="0" u="none" strike="noStrike" kern="0" cap="none" spc="0" normalizeH="0" baseline="0" noProof="0">
            <a:ln>
              <a:noFill/>
            </a:ln>
            <a:solidFill>
              <a:srgbClr val="FFFFFF"/>
            </a:solidFill>
            <a:effectLst/>
            <a:uLnTx/>
            <a:uFillTx/>
            <a:latin typeface="Aptos Display"/>
          </a:endParaRPr>
        </a:p>
        <a:p>
          <a:pPr algn="ctr"/>
          <a:endParaRPr kumimoji="0" lang="en-US" sz="1500" b="1" i="0" u="none" strike="noStrike" kern="0" cap="none" spc="0" normalizeH="0" baseline="0" noProof="0">
            <a:ln>
              <a:noFill/>
            </a:ln>
            <a:solidFill>
              <a:srgbClr val="FFFFFF"/>
            </a:solidFill>
            <a:effectLst/>
            <a:uLnTx/>
            <a:uFillTx/>
            <a:latin typeface="Aptos Display"/>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k mittal" refreshedDate="46303.492236574071" createdVersion="8" refreshedVersion="8" minRefreshableVersion="3" recordCount="500" xr:uid="{39FA573E-5115-4426-BA3D-CD43A61ECB58}">
  <cacheSource type="worksheet">
    <worksheetSource name="hospital_patient_unclean_500__2"/>
  </cacheSource>
  <cacheFields count="16">
    <cacheField name="Patient_ID" numFmtId="0">
      <sharedItems/>
    </cacheField>
    <cacheField name="Patient_Name" numFmtId="0">
      <sharedItems/>
    </cacheField>
    <cacheField name="Age" numFmtId="1">
      <sharedItems containsSemiMixedTypes="0" containsString="0" containsNumber="1" containsInteger="1" minValue="0" maxValue="88" count="89">
        <n v="28"/>
        <n v="55"/>
        <n v="11"/>
        <n v="42"/>
        <n v="52"/>
        <n v="6"/>
        <n v="44"/>
        <n v="82"/>
        <n v="8"/>
        <n v="22"/>
        <n v="35"/>
        <n v="32"/>
        <n v="27"/>
        <n v="30"/>
        <n v="18"/>
        <n v="0"/>
        <n v="78"/>
        <n v="33"/>
        <n v="38"/>
        <n v="15"/>
        <n v="23"/>
        <n v="81"/>
        <n v="60"/>
        <n v="1"/>
        <n v="79"/>
        <n v="65"/>
        <n v="73"/>
        <n v="9"/>
        <n v="14"/>
        <n v="66"/>
        <n v="63"/>
        <n v="54"/>
        <n v="19"/>
        <n v="17"/>
        <n v="59"/>
        <n v="3"/>
        <n v="47"/>
        <n v="71"/>
        <n v="20"/>
        <n v="62"/>
        <n v="4"/>
        <n v="56"/>
        <n v="37"/>
        <n v="31"/>
        <n v="72"/>
        <n v="77"/>
        <n v="36"/>
        <n v="5"/>
        <n v="2"/>
        <n v="40"/>
        <n v="16"/>
        <n v="43"/>
        <n v="51"/>
        <n v="76"/>
        <n v="58"/>
        <n v="87"/>
        <n v="85"/>
        <n v="49"/>
        <n v="68"/>
        <n v="46"/>
        <n v="83"/>
        <n v="26"/>
        <n v="48"/>
        <n v="25"/>
        <n v="53"/>
        <n v="10"/>
        <n v="57"/>
        <n v="45"/>
        <n v="61"/>
        <n v="75"/>
        <n v="41"/>
        <n v="12"/>
        <n v="67"/>
        <n v="88"/>
        <n v="7"/>
        <n v="74"/>
        <n v="84"/>
        <n v="70"/>
        <n v="13"/>
        <n v="39"/>
        <n v="80"/>
        <n v="50"/>
        <n v="29"/>
        <n v="24"/>
        <n v="64"/>
        <n v="21"/>
        <n v="86"/>
        <n v="69"/>
        <n v="34"/>
      </sharedItems>
    </cacheField>
    <cacheField name="Gender" numFmtId="0">
      <sharedItems count="4">
        <s v="Male"/>
        <s v="Female"/>
        <s v="Unspecified"/>
        <s v="Unknown"/>
      </sharedItems>
    </cacheField>
    <cacheField name="City" numFmtId="0">
      <sharedItems count="14">
        <s v="Chennai"/>
        <s v="Unknown"/>
        <s v="Jaipur"/>
        <s v="Bangalore"/>
        <s v="Delhi"/>
        <s v="Mumbai"/>
        <s v="Chandigarh"/>
        <s v="Ahmedabad"/>
        <s v="Pune"/>
        <s v="Hyderabad"/>
        <s v="Kolkata"/>
        <s v="Calcutta"/>
        <s v="Bombay"/>
        <s v="Bengaluru"/>
      </sharedItems>
    </cacheField>
    <cacheField name="Department" numFmtId="0">
      <sharedItems/>
    </cacheField>
    <cacheField name="Doctor" numFmtId="0">
      <sharedItems count="22">
        <s v="Dr. Randhir Sud"/>
        <s v="Dr. Suresh Advani"/>
        <s v="Dr. Anoop Misra"/>
        <s v="Dr. P. N. Renjen"/>
        <s v="Dr. Arvind Bagga"/>
        <s v="Unknown"/>
        <s v="Dr. Krishan Chugh"/>
        <s v="Dr. R. K. Singhal"/>
        <s v="Dr. Devi Shetty"/>
        <s v="Dr. Vinod Raina"/>
        <s v="Dr. Subhash Gupta"/>
        <s v="Dr. Naresh Trehan"/>
        <s v="Dr. Ramneek Mahajan"/>
        <s v="Dr. SKS Marya"/>
        <s v="Dr. Veena Kalra"/>
        <s v="Dr. Mukul Varma"/>
        <s v="Dr. Govind Makharia"/>
        <s v="Dr. Ashok Seth"/>
        <s v="Dr. Atul Gogia"/>
        <s v="Dr. Harit Chaturvedi"/>
        <s v="Dr. Harshavardhan Hegde"/>
        <s v="Dr. Sushil Razdan"/>
      </sharedItems>
    </cacheField>
    <cacheField name="Admission_Date" numFmtId="14">
      <sharedItems containsSemiMixedTypes="0" containsNonDate="0" containsDate="1" containsString="0" minDate="2025-01-01T00:00:00" maxDate="2025-12-28T00:00:00"/>
    </cacheField>
    <cacheField name="Discharge_Date" numFmtId="14">
      <sharedItems containsSemiMixedTypes="0" containsNonDate="0" containsDate="1" containsString="0" minDate="2025-01-03T00:00:00" maxDate="2026-01-13T00:00:00"/>
    </cacheField>
    <cacheField name="Diagnosis" numFmtId="0">
      <sharedItems/>
    </cacheField>
    <cacheField name="Treatment" numFmtId="0">
      <sharedItems/>
    </cacheField>
    <cacheField name="Bill_Amount" numFmtId="164">
      <sharedItems containsSemiMixedTypes="0" containsString="0" containsNumber="1" minValue="0" maxValue="349492.38"/>
    </cacheField>
    <cacheField name="Insurance" numFmtId="0">
      <sharedItems count="8">
        <s v="Star Health"/>
        <s v="None / Self Pay"/>
        <s v="HDFC ERGO"/>
        <s v="Max Bupa"/>
        <s v="ICICI Lombard"/>
        <s v="Care Health"/>
        <s v="Unknown"/>
        <s v="Bajaj Allianz"/>
      </sharedItems>
    </cacheField>
    <cacheField name="Payment_Status" numFmtId="0">
      <sharedItems count="7">
        <s v="Partially Paid"/>
        <s v="Disputed"/>
        <s v="Pending"/>
        <s v="Paid"/>
        <s v="Claim Processing"/>
        <s v="Unknown"/>
        <s v="Unpaid"/>
      </sharedItems>
    </cacheField>
    <cacheField name="Patient_Status" numFmtId="0">
      <sharedItems/>
    </cacheField>
    <cacheField name="Age_Group" numFmtId="0">
      <sharedItems count="5">
        <s v="18-35"/>
        <s v="51-65"/>
        <s v="0-17"/>
        <s v="36-50"/>
        <s v="66+"/>
      </sharedItems>
    </cacheField>
  </cacheFields>
  <extLst>
    <ext xmlns:x14="http://schemas.microsoft.com/office/spreadsheetml/2009/9/main" uri="{725AE2AE-9491-48be-B2B4-4EB974FC3084}">
      <x14:pivotCacheDefinition pivotCacheId="20097091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HOSP-10001"/>
    <s v="Suresh Kumar"/>
    <x v="0"/>
    <x v="0"/>
    <x v="0"/>
    <s v="Gastroenterology"/>
    <x v="0"/>
    <d v="2025-05-11T00:00:00"/>
    <d v="2025-05-18T00:00:00"/>
    <s v="Peptic Ulcer Bleeding"/>
    <s v="Endoscopic Banding"/>
    <n v="87393.01"/>
    <x v="0"/>
    <x v="0"/>
    <s v="Expired"/>
    <x v="0"/>
  </r>
  <r>
    <s v="HOSP-10002"/>
    <s v="Ritu Singh"/>
    <x v="1"/>
    <x v="1"/>
    <x v="1"/>
    <s v="Oncology"/>
    <x v="1"/>
    <d v="2025-01-12T00:00:00"/>
    <d v="2025-01-24T00:00:00"/>
    <s v="Lung Adenocarcinoma"/>
    <s v="Targeted Therapy"/>
    <n v="100821.63"/>
    <x v="1"/>
    <x v="1"/>
    <s v="Discharged"/>
    <x v="1"/>
  </r>
  <r>
    <s v="HOSP-10003"/>
    <s v="Pooja Bose"/>
    <x v="2"/>
    <x v="1"/>
    <x v="2"/>
    <s v="General Medicine"/>
    <x v="2"/>
    <d v="2025-11-09T00:00:00"/>
    <d v="2025-11-09T00:00:00"/>
    <s v="Dengue Fever With Thrombocytopenia"/>
    <s v="Platelet Support"/>
    <n v="159034.31"/>
    <x v="2"/>
    <x v="0"/>
    <s v="Admitted"/>
    <x v="2"/>
  </r>
  <r>
    <s v="HOSP-10004"/>
    <s v="Neha Sharma"/>
    <x v="3"/>
    <x v="1"/>
    <x v="3"/>
    <s v="Neurology"/>
    <x v="3"/>
    <d v="2025-06-13T00:00:00"/>
    <d v="2025-06-13T00:00:00"/>
    <s v="Parkinson'S Disease"/>
    <s v="Levodopa Therapy"/>
    <n v="201434.4"/>
    <x v="3"/>
    <x v="2"/>
    <s v="Admitted"/>
    <x v="3"/>
  </r>
  <r>
    <s v="HOSP-10005"/>
    <s v="Ananya Gupta"/>
    <x v="4"/>
    <x v="1"/>
    <x v="4"/>
    <s v="Pediatrics"/>
    <x v="4"/>
    <d v="2025-03-16T00:00:00"/>
    <d v="2025-03-27T00:00:00"/>
    <s v="Viral Gastroenteritis"/>
    <s v="IV Fluids &amp; Electrolytes"/>
    <n v="130701.41"/>
    <x v="2"/>
    <x v="1"/>
    <s v="Discharged"/>
    <x v="1"/>
  </r>
  <r>
    <s v="HOSP-10006"/>
    <s v="Priya Mehta"/>
    <x v="5"/>
    <x v="1"/>
    <x v="2"/>
    <s v="General Medicine"/>
    <x v="2"/>
    <d v="2025-10-11T00:00:00"/>
    <d v="2025-10-18T00:00:00"/>
    <s v="Unknown"/>
    <s v="Insulin Titration"/>
    <n v="235214.45"/>
    <x v="4"/>
    <x v="3"/>
    <s v="Unknown"/>
    <x v="2"/>
  </r>
  <r>
    <s v="HOSP-10007"/>
    <s v="Manoj Verma"/>
    <x v="6"/>
    <x v="0"/>
    <x v="5"/>
    <s v="General Medicine"/>
    <x v="5"/>
    <d v="2025-07-02T00:00:00"/>
    <d v="2025-07-09T00:00:00"/>
    <s v="Dengue Fever With Thrombocytopenia"/>
    <s v="Platelet Support"/>
    <n v="64345.01"/>
    <x v="1"/>
    <x v="4"/>
    <s v="Discharged Against Medical Advice"/>
    <x v="3"/>
  </r>
  <r>
    <s v="HOSP-10008"/>
    <s v="Vihaan Iyer"/>
    <x v="6"/>
    <x v="0"/>
    <x v="6"/>
    <s v="Pediatrics"/>
    <x v="6"/>
    <d v="2025-02-26T00:00:00"/>
    <d v="2025-02-28T00:00:00"/>
    <s v="Acute Bronchiolitis"/>
    <s v="Nebulization &amp; O2 Support"/>
    <n v="51199.6"/>
    <x v="5"/>
    <x v="3"/>
    <s v="Discharged Against Medical Advice"/>
    <x v="3"/>
  </r>
  <r>
    <s v="HOSP-10009"/>
    <s v="Ritu Nair"/>
    <x v="7"/>
    <x v="1"/>
    <x v="4"/>
    <s v="Oncology"/>
    <x v="1"/>
    <d v="2025-03-19T00:00:00"/>
    <d v="2025-03-25T00:00:00"/>
    <s v="Colorectal Cancer"/>
    <s v="Colectomy"/>
    <n v="70846.91"/>
    <x v="5"/>
    <x v="4"/>
    <s v="Expired"/>
    <x v="4"/>
  </r>
  <r>
    <s v="HOSP-10010"/>
    <s v="Neha Iyer"/>
    <x v="8"/>
    <x v="1"/>
    <x v="0"/>
    <s v="General Medicine"/>
    <x v="7"/>
    <d v="2025-01-23T00:00:00"/>
    <d v="2025-02-05T00:00:00"/>
    <s v="Urinary Tract Infection"/>
    <s v="Antibiotic Course"/>
    <n v="293150.34999999998"/>
    <x v="1"/>
    <x v="4"/>
    <s v="Discharged"/>
    <x v="2"/>
  </r>
  <r>
    <s v="HOSP-10011"/>
    <s v="Deepak Iyer"/>
    <x v="9"/>
    <x v="0"/>
    <x v="7"/>
    <s v="Neurology"/>
    <x v="3"/>
    <d v="2025-01-28T00:00:00"/>
    <d v="2025-02-14T00:00:00"/>
    <s v="Parkinson'S Disease"/>
    <s v="Levodopa Therapy"/>
    <n v="220027.81"/>
    <x v="2"/>
    <x v="4"/>
    <s v="Discharged"/>
    <x v="0"/>
  </r>
  <r>
    <s v="HOSP-10012"/>
    <s v="Diya Nair"/>
    <x v="10"/>
    <x v="1"/>
    <x v="8"/>
    <s v="Cardiology"/>
    <x v="8"/>
    <d v="2025-10-03T00:00:00"/>
    <d v="2025-10-20T00:00:00"/>
    <s v="Myocardial Infarction"/>
    <s v="Thrombolysis"/>
    <n v="260712.15"/>
    <x v="6"/>
    <x v="2"/>
    <s v="Expired"/>
    <x v="0"/>
  </r>
  <r>
    <s v="HOSP-10013"/>
    <s v="Meera Iyer"/>
    <x v="11"/>
    <x v="1"/>
    <x v="5"/>
    <s v="Cardiology"/>
    <x v="8"/>
    <d v="2025-11-07T00:00:00"/>
    <d v="2025-11-12T00:00:00"/>
    <s v="Myocardial Infarction"/>
    <s v="Thrombolysis"/>
    <n v="278473.99"/>
    <x v="0"/>
    <x v="2"/>
    <s v="Transferred"/>
    <x v="0"/>
  </r>
  <r>
    <s v="HOSP-10014"/>
    <s v="Ananya Gupta"/>
    <x v="7"/>
    <x v="1"/>
    <x v="8"/>
    <s v="Gastroenterology"/>
    <x v="0"/>
    <d v="2025-10-25T00:00:00"/>
    <d v="2025-11-05T00:00:00"/>
    <s v="Peptic Ulcer Bleeding"/>
    <s v="Endoscopic Banding"/>
    <n v="328729.7"/>
    <x v="2"/>
    <x v="3"/>
    <s v="Expired"/>
    <x v="4"/>
  </r>
  <r>
    <s v="HOSP-10015"/>
    <s v="Kabir Patel"/>
    <x v="12"/>
    <x v="2"/>
    <x v="5"/>
    <s v="General Medicine"/>
    <x v="5"/>
    <d v="2025-03-31T00:00:00"/>
    <d v="2025-09-30T00:00:00"/>
    <s v="Hypertensive Crisis"/>
    <s v="IV Labetalol"/>
    <n v="75685.5"/>
    <x v="7"/>
    <x v="3"/>
    <s v="Expired"/>
    <x v="0"/>
  </r>
  <r>
    <s v="HOSP-10016"/>
    <s v="Deepak Bose"/>
    <x v="13"/>
    <x v="0"/>
    <x v="1"/>
    <s v="Oncology"/>
    <x v="9"/>
    <d v="2025-08-14T00:00:00"/>
    <d v="2025-08-25T00:00:00"/>
    <s v="Breast Carcinoma"/>
    <s v="Chemotherapy &amp; Lumpectomy"/>
    <n v="18589.990000000002"/>
    <x v="3"/>
    <x v="3"/>
    <s v="Expired"/>
    <x v="0"/>
  </r>
  <r>
    <s v="HOSP-10017"/>
    <s v="Kabir Patel"/>
    <x v="14"/>
    <x v="0"/>
    <x v="0"/>
    <s v="Gastroenterology"/>
    <x v="10"/>
    <d v="2025-07-02T00:00:00"/>
    <d v="2025-07-03T00:00:00"/>
    <s v="Peptic Ulcer Bleeding"/>
    <s v="Endoscopic Banding"/>
    <n v="121300.98"/>
    <x v="5"/>
    <x v="2"/>
    <s v="Discharged Against Medical Advice"/>
    <x v="0"/>
  </r>
  <r>
    <s v="HOSP-10018"/>
    <s v="Kavita Patel"/>
    <x v="9"/>
    <x v="1"/>
    <x v="0"/>
    <s v="Pediatrics"/>
    <x v="5"/>
    <d v="2025-04-24T00:00:00"/>
    <d v="2025-08-20T00:00:00"/>
    <s v="Severe Pneumonia"/>
    <s v="IV Antibiotics"/>
    <n v="38856.69"/>
    <x v="1"/>
    <x v="4"/>
    <s v="Discharged Against Medical Advice"/>
    <x v="0"/>
  </r>
  <r>
    <s v="HOSP-10019"/>
    <s v="Meera Reddy"/>
    <x v="15"/>
    <x v="1"/>
    <x v="9"/>
    <s v="Cardiology"/>
    <x v="11"/>
    <d v="2025-09-27T00:00:00"/>
    <d v="2025-10-07T00:00:00"/>
    <s v="Arrhythmia"/>
    <s v="Pacemaker Implantation"/>
    <n v="102930.63"/>
    <x v="2"/>
    <x v="4"/>
    <s v="Expired"/>
    <x v="2"/>
  </r>
  <r>
    <s v="HOSP-10020"/>
    <s v="Ananya Bose"/>
    <x v="16"/>
    <x v="1"/>
    <x v="4"/>
    <s v="General Medicine"/>
    <x v="7"/>
    <d v="2025-01-23T00:00:00"/>
    <d v="2025-07-15T00:00:00"/>
    <s v="Urinary Tract Infection"/>
    <s v="Antibiotic Course"/>
    <n v="296127.5"/>
    <x v="5"/>
    <x v="3"/>
    <s v="Admitted"/>
    <x v="4"/>
  </r>
  <r>
    <s v="HOSP-10021"/>
    <s v="Ritu Joshi"/>
    <x v="17"/>
    <x v="1"/>
    <x v="6"/>
    <s v="Cardiology"/>
    <x v="11"/>
    <d v="2025-04-13T00:00:00"/>
    <d v="2025-04-21T00:00:00"/>
    <s v="Myocardial Infarction"/>
    <s v="Thrombolysis"/>
    <n v="171483.51999999999"/>
    <x v="5"/>
    <x v="2"/>
    <s v="Discharged Against Medical Advice"/>
    <x v="0"/>
  </r>
  <r>
    <s v="HOSP-10022"/>
    <s v="Manoj Kumar"/>
    <x v="18"/>
    <x v="0"/>
    <x v="2"/>
    <s v="Gastroenterology"/>
    <x v="0"/>
    <d v="2025-01-06T00:00:00"/>
    <d v="2025-01-08T00:00:00"/>
    <s v="Liver Cirrhosis"/>
    <s v="Paracentesis &amp; Diuretics"/>
    <n v="218725.35"/>
    <x v="3"/>
    <x v="3"/>
    <s v="Discharged"/>
    <x v="3"/>
  </r>
  <r>
    <s v="HOSP-10023"/>
    <s v="Vikram Mehta"/>
    <x v="19"/>
    <x v="0"/>
    <x v="10"/>
    <s v="General Medicine"/>
    <x v="2"/>
    <d v="2025-05-02T00:00:00"/>
    <d v="2025-05-22T00:00:00"/>
    <s v="Urinary Tract Infection"/>
    <s v="Antibiotic Course"/>
    <n v="17679.5"/>
    <x v="7"/>
    <x v="2"/>
    <s v="Admitted"/>
    <x v="2"/>
  </r>
  <r>
    <s v="HOSP-10024"/>
    <s v="Diya Reddy"/>
    <x v="17"/>
    <x v="1"/>
    <x v="8"/>
    <s v="Pediatrics"/>
    <x v="5"/>
    <d v="2025-09-26T00:00:00"/>
    <d v="2025-10-02T00:00:00"/>
    <s v="Severe Pneumonia"/>
    <s v="IV Antibiotics"/>
    <n v="345599.6"/>
    <x v="5"/>
    <x v="5"/>
    <s v="Discharged"/>
    <x v="0"/>
  </r>
  <r>
    <s v="HOSP-10025"/>
    <s v="Amit Nair"/>
    <x v="20"/>
    <x v="0"/>
    <x v="0"/>
    <s v="Gastroenterology"/>
    <x v="10"/>
    <d v="2025-05-27T00:00:00"/>
    <d v="2025-06-14T00:00:00"/>
    <s v="Liver Cirrhosis"/>
    <s v="Paracentesis &amp; Diuretics"/>
    <n v="6379.01"/>
    <x v="1"/>
    <x v="0"/>
    <s v="Discharged"/>
    <x v="0"/>
  </r>
  <r>
    <s v="HOSP-10026"/>
    <s v="Diya Patel"/>
    <x v="21"/>
    <x v="1"/>
    <x v="9"/>
    <s v="Orthopedics"/>
    <x v="12"/>
    <d v="2025-10-15T00:00:00"/>
    <d v="2025-10-15T00:00:00"/>
    <s v="Rotator Cuff Tear"/>
    <s v="Arthroscopic Repair"/>
    <n v="345147.17"/>
    <x v="7"/>
    <x v="3"/>
    <s v="Admitted"/>
    <x v="4"/>
  </r>
  <r>
    <s v="HOSP-10027"/>
    <s v="Anita Iyer"/>
    <x v="3"/>
    <x v="2"/>
    <x v="2"/>
    <s v="Orthopedics"/>
    <x v="13"/>
    <d v="2025-10-14T00:00:00"/>
    <d v="2025-11-01T00:00:00"/>
    <s v="Lumbar Spondylosis"/>
    <s v="Spinal Decompression"/>
    <n v="192645.57"/>
    <x v="3"/>
    <x v="2"/>
    <s v="Expired"/>
    <x v="3"/>
  </r>
  <r>
    <s v="HOSP-10028"/>
    <s v="Sneha Kumar"/>
    <x v="22"/>
    <x v="1"/>
    <x v="6"/>
    <s v="Pediatrics"/>
    <x v="14"/>
    <d v="2025-05-26T00:00:00"/>
    <d v="2025-06-07T00:00:00"/>
    <s v="Severe Pneumonia"/>
    <s v="IV Antibiotics"/>
    <n v="264892.76"/>
    <x v="4"/>
    <x v="3"/>
    <s v="Unknown"/>
    <x v="1"/>
  </r>
  <r>
    <s v="HOSP-10029"/>
    <s v="Vikram Patel"/>
    <x v="23"/>
    <x v="0"/>
    <x v="9"/>
    <s v="General Medicine"/>
    <x v="2"/>
    <d v="2025-10-29T00:00:00"/>
    <d v="2025-11-07T00:00:00"/>
    <s v="Unknown"/>
    <s v="IV Labetalol"/>
    <n v="273333.11"/>
    <x v="0"/>
    <x v="4"/>
    <s v="Expired"/>
    <x v="2"/>
  </r>
  <r>
    <s v="HOSP-10030"/>
    <s v="Ramesh Nair"/>
    <x v="24"/>
    <x v="0"/>
    <x v="3"/>
    <s v="Orthopedics"/>
    <x v="12"/>
    <d v="2025-06-01T00:00:00"/>
    <d v="2025-06-26T00:00:00"/>
    <s v="Femur Fracture"/>
    <s v="Internal Fixation"/>
    <n v="222932.36"/>
    <x v="3"/>
    <x v="0"/>
    <s v="Admitted"/>
    <x v="4"/>
  </r>
  <r>
    <s v="HOSP-10031"/>
    <s v="Kavita Singh"/>
    <x v="25"/>
    <x v="1"/>
    <x v="6"/>
    <s v="Oncology"/>
    <x v="1"/>
    <d v="2025-02-11T00:00:00"/>
    <d v="2025-02-12T00:00:00"/>
    <s v="Lung Adenocarcinoma"/>
    <s v="Unknown"/>
    <n v="83463"/>
    <x v="2"/>
    <x v="4"/>
    <s v="Expired"/>
    <x v="1"/>
  </r>
  <r>
    <s v="HOSP-10032"/>
    <s v="Suresh Iyer"/>
    <x v="25"/>
    <x v="0"/>
    <x v="9"/>
    <s v="Neurology"/>
    <x v="15"/>
    <d v="2025-01-24T00:00:00"/>
    <d v="2025-02-10T00:00:00"/>
    <s v="Acute Ischemic Stroke"/>
    <s v="tPA Therapy"/>
    <n v="312331.51"/>
    <x v="4"/>
    <x v="3"/>
    <s v="Transferred"/>
    <x v="1"/>
  </r>
  <r>
    <s v="HOSP-10033"/>
    <s v="Kavita Bose"/>
    <x v="26"/>
    <x v="1"/>
    <x v="7"/>
    <s v="Gastroenterology"/>
    <x v="16"/>
    <d v="2025-02-20T00:00:00"/>
    <d v="2025-02-24T00:00:00"/>
    <s v="Peptic Ulcer Bleeding"/>
    <s v="Endoscopic Banding"/>
    <n v="117030.29"/>
    <x v="5"/>
    <x v="1"/>
    <s v="Discharged Against Medical Advice"/>
    <x v="4"/>
  </r>
  <r>
    <s v="HOSP-10034"/>
    <s v="Amit Joshi"/>
    <x v="27"/>
    <x v="0"/>
    <x v="5"/>
    <s v="Neurology"/>
    <x v="3"/>
    <d v="2025-06-21T00:00:00"/>
    <d v="2025-07-09T00:00:00"/>
    <s v="Epilepsy"/>
    <s v="Anticonvulsant Therapy"/>
    <n v="17481.34"/>
    <x v="5"/>
    <x v="4"/>
    <s v="Transferred"/>
    <x v="2"/>
  </r>
  <r>
    <s v="HOSP-10035"/>
    <s v="Kabir Singh"/>
    <x v="28"/>
    <x v="0"/>
    <x v="9"/>
    <s v="Pediatrics"/>
    <x v="14"/>
    <d v="2025-05-07T00:00:00"/>
    <d v="2025-05-12T00:00:00"/>
    <s v="Acute Bronchiolitis"/>
    <s v="Nebulization &amp; O2 Support"/>
    <n v="42926.97"/>
    <x v="4"/>
    <x v="3"/>
    <s v="Discharged Against Medical Advice"/>
    <x v="2"/>
  </r>
  <r>
    <s v="HOSP-10036"/>
    <s v="Sneha Iyer"/>
    <x v="18"/>
    <x v="1"/>
    <x v="6"/>
    <s v="Cardiology"/>
    <x v="17"/>
    <d v="2025-07-22T00:00:00"/>
    <d v="2025-07-22T00:00:00"/>
    <s v="Myocardial Infarction"/>
    <s v="Thrombolysis"/>
    <n v="136077.35999999999"/>
    <x v="5"/>
    <x v="3"/>
    <s v="Transferred"/>
    <x v="3"/>
  </r>
  <r>
    <s v="HOSP-10037"/>
    <s v="Ritu Patel"/>
    <x v="6"/>
    <x v="1"/>
    <x v="0"/>
    <s v="General Medicine"/>
    <x v="18"/>
    <d v="2025-10-05T00:00:00"/>
    <d v="2025-10-18T00:00:00"/>
    <s v="Unknown"/>
    <s v="Antibiotic Course"/>
    <n v="305300.05"/>
    <x v="1"/>
    <x v="0"/>
    <s v="Discharged Against Medical Advice"/>
    <x v="3"/>
  </r>
  <r>
    <s v="HOSP-10038"/>
    <s v="Deepak Joshi"/>
    <x v="12"/>
    <x v="0"/>
    <x v="4"/>
    <s v="Neurology"/>
    <x v="15"/>
    <d v="2025-09-23T00:00:00"/>
    <d v="2025-10-03T00:00:00"/>
    <s v="Acute Ischemic Stroke"/>
    <s v="tPA Therapy"/>
    <n v="317162.14"/>
    <x v="7"/>
    <x v="2"/>
    <s v="Transferred"/>
    <x v="0"/>
  </r>
  <r>
    <s v="HOSP-10039"/>
    <s v="Meera Iyer"/>
    <x v="29"/>
    <x v="1"/>
    <x v="10"/>
    <s v="Cardiology"/>
    <x v="11"/>
    <d v="2025-05-26T00:00:00"/>
    <d v="2025-06-11T00:00:00"/>
    <s v="Arrhythmia"/>
    <s v="Pacemaker Implantation"/>
    <n v="192719.37"/>
    <x v="7"/>
    <x v="2"/>
    <s v="Discharged Against Medical Advice"/>
    <x v="4"/>
  </r>
  <r>
    <s v="HOSP-10040"/>
    <s v="Neha Sharma"/>
    <x v="20"/>
    <x v="1"/>
    <x v="8"/>
    <s v="Orthopedics"/>
    <x v="13"/>
    <d v="2025-01-14T00:00:00"/>
    <d v="2025-02-01T00:00:00"/>
    <s v="Osteoarthritis Knee"/>
    <s v="Total Knee Replacement"/>
    <n v="98162.26"/>
    <x v="0"/>
    <x v="1"/>
    <s v="Discharged Against Medical Advice"/>
    <x v="0"/>
  </r>
  <r>
    <s v="HOSP-10041"/>
    <s v="Rajesh Sharma"/>
    <x v="30"/>
    <x v="0"/>
    <x v="11"/>
    <s v="Oncology"/>
    <x v="9"/>
    <d v="2025-06-28T00:00:00"/>
    <d v="2025-06-28T00:00:00"/>
    <s v="Unknown"/>
    <s v="R-Chop Regimen"/>
    <n v="255824.81"/>
    <x v="2"/>
    <x v="4"/>
    <s v="Admitted"/>
    <x v="1"/>
  </r>
  <r>
    <s v="HOSP-10042"/>
    <s v="Ritu Sharma"/>
    <x v="31"/>
    <x v="1"/>
    <x v="7"/>
    <s v="Gastroenterology"/>
    <x v="0"/>
    <d v="2025-06-14T00:00:00"/>
    <d v="2025-07-02T00:00:00"/>
    <s v="Gallstones / Cholecystitis"/>
    <s v="Laparoscopic Cholecystectomy"/>
    <n v="121026.07"/>
    <x v="0"/>
    <x v="3"/>
    <s v="Discharged Against Medical Advice"/>
    <x v="1"/>
  </r>
  <r>
    <s v="HOSP-10043"/>
    <s v="Amit Iyer"/>
    <x v="32"/>
    <x v="0"/>
    <x v="7"/>
    <s v="General Medicine"/>
    <x v="5"/>
    <d v="2025-08-21T00:00:00"/>
    <d v="2025-08-21T00:00:00"/>
    <s v="Type 2 Diabetes Uncontrolled"/>
    <s v="Insulin Titration"/>
    <n v="272661.81"/>
    <x v="5"/>
    <x v="1"/>
    <s v="Admitted"/>
    <x v="0"/>
  </r>
  <r>
    <s v="HOSP-10044"/>
    <s v="Amit Sharma"/>
    <x v="33"/>
    <x v="0"/>
    <x v="7"/>
    <s v="Neurology"/>
    <x v="5"/>
    <d v="2025-10-20T00:00:00"/>
    <d v="2025-10-20T00:00:00"/>
    <s v="Acute Ischemic Stroke"/>
    <s v="tPA Therapy"/>
    <n v="305369.69"/>
    <x v="3"/>
    <x v="4"/>
    <s v="Admitted"/>
    <x v="2"/>
  </r>
  <r>
    <s v="HOSP-10045"/>
    <s v="Anjali Nair"/>
    <x v="20"/>
    <x v="1"/>
    <x v="8"/>
    <s v="General Medicine"/>
    <x v="2"/>
    <d v="2025-04-07T00:00:00"/>
    <d v="2025-04-15T00:00:00"/>
    <s v="Dengue Fever With Thrombocytopenia"/>
    <s v="Platelet Support"/>
    <n v="160725.21"/>
    <x v="1"/>
    <x v="3"/>
    <s v="Transferred"/>
    <x v="0"/>
  </r>
  <r>
    <s v="HOSP-10046"/>
    <s v="Diya Reddy"/>
    <x v="34"/>
    <x v="1"/>
    <x v="9"/>
    <s v="Oncology"/>
    <x v="19"/>
    <d v="2025-07-15T00:00:00"/>
    <d v="2025-07-26T00:00:00"/>
    <s v="Lymphoma"/>
    <s v="R-Chop Regimen"/>
    <n v="46634.93"/>
    <x v="0"/>
    <x v="4"/>
    <s v="Expired"/>
    <x v="1"/>
  </r>
  <r>
    <s v="HOSP-10047"/>
    <s v="Meera Kumar"/>
    <x v="35"/>
    <x v="1"/>
    <x v="6"/>
    <s v="Cardiology"/>
    <x v="8"/>
    <d v="2025-10-23T00:00:00"/>
    <d v="2025-11-01T00:00:00"/>
    <s v="Coronary Artery Disease"/>
    <s v="Angioplasty"/>
    <n v="30598.91"/>
    <x v="7"/>
    <x v="1"/>
    <s v="Discharged Against Medical Advice"/>
    <x v="2"/>
  </r>
  <r>
    <s v="HOSP-10048"/>
    <s v="Priya Verma"/>
    <x v="1"/>
    <x v="1"/>
    <x v="9"/>
    <s v="Neurology"/>
    <x v="15"/>
    <d v="2025-06-26T00:00:00"/>
    <d v="2025-06-30T00:00:00"/>
    <s v="Parkinson'S Disease"/>
    <s v="Levodopa Therapy"/>
    <n v="298691.20000000001"/>
    <x v="1"/>
    <x v="1"/>
    <s v="Discharged Against Medical Advice"/>
    <x v="1"/>
  </r>
  <r>
    <s v="HOSP-10049"/>
    <s v="Neha Patel"/>
    <x v="36"/>
    <x v="1"/>
    <x v="10"/>
    <s v="Oncology"/>
    <x v="19"/>
    <d v="2025-03-16T00:00:00"/>
    <d v="2025-07-23T00:00:00"/>
    <s v="Colorectal Cancer"/>
    <s v="Colectomy"/>
    <n v="341800.01"/>
    <x v="1"/>
    <x v="3"/>
    <s v="Admitted"/>
    <x v="3"/>
  </r>
  <r>
    <s v="HOSP-10050"/>
    <s v="Kabir Mehta"/>
    <x v="12"/>
    <x v="0"/>
    <x v="9"/>
    <s v="Orthopedics"/>
    <x v="20"/>
    <d v="2025-07-30T00:00:00"/>
    <d v="2025-08-14T00:00:00"/>
    <s v="Lumbar Spondylosis"/>
    <s v="Spinal Decompression"/>
    <n v="153551.82"/>
    <x v="5"/>
    <x v="3"/>
    <s v="Discharged"/>
    <x v="0"/>
  </r>
  <r>
    <s v="HOSP-10051"/>
    <s v="Manoj Joshi"/>
    <x v="37"/>
    <x v="0"/>
    <x v="6"/>
    <s v="Pediatrics"/>
    <x v="4"/>
    <d v="2025-10-30T00:00:00"/>
    <d v="2025-11-07T00:00:00"/>
    <s v="Neonatal Jaundice"/>
    <s v="Phototherapy"/>
    <n v="166546.48000000001"/>
    <x v="0"/>
    <x v="1"/>
    <s v="Expired"/>
    <x v="4"/>
  </r>
  <r>
    <s v="HOSP-10052"/>
    <s v="Manoj Kumar"/>
    <x v="6"/>
    <x v="0"/>
    <x v="3"/>
    <s v="Orthopedics"/>
    <x v="13"/>
    <d v="2025-09-05T00:00:00"/>
    <d v="2025-09-06T00:00:00"/>
    <s v="Lumbar Spondylosis"/>
    <s v="Spinal Decompression"/>
    <n v="104991.88"/>
    <x v="7"/>
    <x v="4"/>
    <s v="Discharged"/>
    <x v="3"/>
  </r>
  <r>
    <s v="HOSP-10053"/>
    <s v="Deepak Singh"/>
    <x v="32"/>
    <x v="0"/>
    <x v="8"/>
    <s v="Neurology"/>
    <x v="3"/>
    <d v="2025-04-25T00:00:00"/>
    <d v="2025-05-02T00:00:00"/>
    <s v="Parkinson'S Disease"/>
    <s v="Levodopa Therapy"/>
    <n v="158630.85"/>
    <x v="4"/>
    <x v="0"/>
    <s v="Unknown"/>
    <x v="0"/>
  </r>
  <r>
    <s v="HOSP-10054"/>
    <s v="Sunita Gupta"/>
    <x v="38"/>
    <x v="1"/>
    <x v="9"/>
    <s v="Gastroenterology"/>
    <x v="0"/>
    <d v="2025-11-29T00:00:00"/>
    <d v="2025-11-29T00:00:00"/>
    <s v="Gallstones / Cholecystitis"/>
    <s v="Laparoscopic Cholecystectomy"/>
    <n v="259400.48"/>
    <x v="4"/>
    <x v="2"/>
    <s v="Admitted"/>
    <x v="0"/>
  </r>
  <r>
    <s v="HOSP-10055"/>
    <s v="Ramesh Bose"/>
    <x v="39"/>
    <x v="0"/>
    <x v="10"/>
    <s v="Oncology"/>
    <x v="9"/>
    <d v="2025-03-31T00:00:00"/>
    <d v="2025-04-01T00:00:00"/>
    <s v="Breast Carcinoma"/>
    <s v="Chemotherapy &amp; Lumpectomy"/>
    <n v="6330.59"/>
    <x v="3"/>
    <x v="1"/>
    <s v="Admitted"/>
    <x v="1"/>
  </r>
  <r>
    <s v="HOSP-10056"/>
    <s v="Vihaan Mehta"/>
    <x v="37"/>
    <x v="0"/>
    <x v="8"/>
    <s v="Pediatrics"/>
    <x v="14"/>
    <d v="2025-03-07T00:00:00"/>
    <d v="2025-03-21T00:00:00"/>
    <s v="Neonatal Jaundice"/>
    <s v="Unknown"/>
    <n v="156042.6"/>
    <x v="3"/>
    <x v="1"/>
    <s v="Expired"/>
    <x v="4"/>
  </r>
  <r>
    <s v="HOSP-10057"/>
    <s v="Meera Patel"/>
    <x v="40"/>
    <x v="1"/>
    <x v="5"/>
    <s v="Pediatrics"/>
    <x v="4"/>
    <d v="2025-07-07T00:00:00"/>
    <d v="2025-07-07T00:00:00"/>
    <s v="Acute Bronchiolitis"/>
    <s v="Nebulization &amp; O2 Support"/>
    <n v="117856.84"/>
    <x v="2"/>
    <x v="3"/>
    <s v="Transferred"/>
    <x v="2"/>
  </r>
  <r>
    <s v="HOSP-10058"/>
    <s v="Manoj Bose"/>
    <x v="41"/>
    <x v="0"/>
    <x v="2"/>
    <s v="Neurology"/>
    <x v="3"/>
    <d v="2025-01-13T00:00:00"/>
    <d v="2025-03-29T00:00:00"/>
    <s v="Parkinson'S Disease"/>
    <s v="Levodopa Therapy"/>
    <n v="135291.62"/>
    <x v="2"/>
    <x v="4"/>
    <s v="Admitted"/>
    <x v="1"/>
  </r>
  <r>
    <s v="HOSP-10059"/>
    <s v="Ananya Reddy"/>
    <x v="37"/>
    <x v="1"/>
    <x v="3"/>
    <s v="Cardiology"/>
    <x v="11"/>
    <d v="2025-03-20T00:00:00"/>
    <d v="2025-03-31T00:00:00"/>
    <s v="Coronary Artery Disease"/>
    <s v="Angioplasty"/>
    <n v="274287.35999999999"/>
    <x v="5"/>
    <x v="2"/>
    <s v="Transferred"/>
    <x v="4"/>
  </r>
  <r>
    <s v="HOSP-10060"/>
    <s v="Manoj Joshi"/>
    <x v="11"/>
    <x v="2"/>
    <x v="9"/>
    <s v="Cardiology"/>
    <x v="11"/>
    <d v="2025-12-15T00:00:00"/>
    <d v="2025-12-26T00:00:00"/>
    <s v="Heart Failure"/>
    <s v="Ace Inhibitors &amp; Diuretics"/>
    <n v="129875.35"/>
    <x v="4"/>
    <x v="4"/>
    <s v="Expired"/>
    <x v="0"/>
  </r>
  <r>
    <s v="HOSP-10061"/>
    <s v="Ramesh Verma"/>
    <x v="42"/>
    <x v="0"/>
    <x v="10"/>
    <s v="Unknown"/>
    <x v="18"/>
    <d v="2025-01-04T00:00:00"/>
    <d v="2025-10-29T00:00:00"/>
    <s v="Dengue Fever With Thrombocytopenia"/>
    <s v="Platelet Support"/>
    <n v="133136.07999999999"/>
    <x v="3"/>
    <x v="2"/>
    <s v="Admitted"/>
    <x v="3"/>
  </r>
  <r>
    <s v="HOSP-10062"/>
    <s v="Neha Singh"/>
    <x v="18"/>
    <x v="3"/>
    <x v="6"/>
    <s v="Neurology"/>
    <x v="21"/>
    <d v="2025-08-20T00:00:00"/>
    <d v="2025-08-31T00:00:00"/>
    <s v="Acute Ischemic Stroke"/>
    <s v="tPA Therapy"/>
    <n v="301763.98"/>
    <x v="7"/>
    <x v="2"/>
    <s v="Discharged Against Medical Advice"/>
    <x v="3"/>
  </r>
  <r>
    <s v="HOSP-10063"/>
    <s v="Suresh Kumar"/>
    <x v="6"/>
    <x v="0"/>
    <x v="10"/>
    <s v="Orthopedics"/>
    <x v="20"/>
    <d v="2025-03-16T00:00:00"/>
    <d v="2025-03-25T00:00:00"/>
    <s v="Rotator Cuff Tear"/>
    <s v="Arthroscopic Repair"/>
    <n v="344150.43"/>
    <x v="1"/>
    <x v="4"/>
    <s v="Transferred"/>
    <x v="3"/>
  </r>
  <r>
    <s v="HOSP-10064"/>
    <s v="Rohan Patel"/>
    <x v="6"/>
    <x v="0"/>
    <x v="5"/>
    <s v="General Medicine"/>
    <x v="7"/>
    <d v="2025-12-19T00:00:00"/>
    <d v="2026-01-01T00:00:00"/>
    <s v="Hypertensive Crisis"/>
    <s v="IV Labetalol"/>
    <n v="0"/>
    <x v="1"/>
    <x v="3"/>
    <s v="Discharged Against Medical Advice"/>
    <x v="3"/>
  </r>
  <r>
    <s v="HOSP-10065"/>
    <s v="Manoj Joshi"/>
    <x v="43"/>
    <x v="0"/>
    <x v="8"/>
    <s v="General Medicine"/>
    <x v="2"/>
    <d v="2025-10-21T00:00:00"/>
    <d v="2025-10-30T00:00:00"/>
    <s v="Type 2 Diabetes Uncontrolled"/>
    <s v="Insulin Titration"/>
    <n v="189136.82"/>
    <x v="5"/>
    <x v="0"/>
    <s v="Admitted"/>
    <x v="0"/>
  </r>
  <r>
    <s v="HOSP-10066"/>
    <s v="Sunita Nair"/>
    <x v="15"/>
    <x v="1"/>
    <x v="5"/>
    <s v="General Medicine"/>
    <x v="2"/>
    <d v="2025-08-21T00:00:00"/>
    <d v="2025-08-28T00:00:00"/>
    <s v="Dengue Fever With Thrombocytopenia"/>
    <s v="Platelet Support"/>
    <n v="20999.67"/>
    <x v="7"/>
    <x v="4"/>
    <s v="Expired"/>
    <x v="2"/>
  </r>
  <r>
    <s v="HOSP-10067"/>
    <s v="Unknown"/>
    <x v="44"/>
    <x v="1"/>
    <x v="1"/>
    <s v="Oncology"/>
    <x v="19"/>
    <d v="2025-08-11T00:00:00"/>
    <d v="2025-08-25T00:00:00"/>
    <s v="Lymphoma"/>
    <s v="R-Chop Regimen"/>
    <n v="269850.53999999998"/>
    <x v="2"/>
    <x v="0"/>
    <s v="Expired"/>
    <x v="4"/>
  </r>
  <r>
    <s v="HOSP-10068"/>
    <s v="Aarav Bose"/>
    <x v="11"/>
    <x v="0"/>
    <x v="0"/>
    <s v="Neurology"/>
    <x v="5"/>
    <d v="2025-05-07T00:00:00"/>
    <d v="2025-06-14T00:00:00"/>
    <s v="Epilepsy"/>
    <s v="Anticonvulsant Therapy"/>
    <n v="29938.95"/>
    <x v="6"/>
    <x v="3"/>
    <s v="Admitted"/>
    <x v="0"/>
  </r>
  <r>
    <s v="HOSP-10069"/>
    <s v="Sneha Joshi"/>
    <x v="45"/>
    <x v="1"/>
    <x v="7"/>
    <s v="Orthopedics"/>
    <x v="13"/>
    <d v="2025-03-31T00:00:00"/>
    <d v="2025-04-03T00:00:00"/>
    <s v="Lumbar Spondylosis"/>
    <s v="Spinal Decompression"/>
    <n v="146946.73000000001"/>
    <x v="5"/>
    <x v="3"/>
    <s v="Discharged Against Medical Advice"/>
    <x v="4"/>
  </r>
  <r>
    <s v="HOSP-10070"/>
    <s v="Anjali Verma"/>
    <x v="6"/>
    <x v="1"/>
    <x v="8"/>
    <s v="Pediatrics"/>
    <x v="4"/>
    <d v="2025-07-16T00:00:00"/>
    <d v="2025-07-24T00:00:00"/>
    <s v="Neonatal Jaundice"/>
    <s v="Phototherapy"/>
    <n v="340423.43"/>
    <x v="4"/>
    <x v="4"/>
    <s v="Discharged"/>
    <x v="3"/>
  </r>
  <r>
    <s v="HOSP-10071"/>
    <s v="Unknown"/>
    <x v="6"/>
    <x v="0"/>
    <x v="2"/>
    <s v="General Medicine"/>
    <x v="18"/>
    <d v="2025-07-13T00:00:00"/>
    <d v="2025-07-19T00:00:00"/>
    <s v="Dengue Fever With Thrombocytopenia"/>
    <s v="Platelet Support"/>
    <n v="343098.9"/>
    <x v="7"/>
    <x v="4"/>
    <s v="Discharged Against Medical Advice"/>
    <x v="3"/>
  </r>
  <r>
    <s v="HOSP-10072"/>
    <s v="Aarav Bose"/>
    <x v="46"/>
    <x v="0"/>
    <x v="9"/>
    <s v="Unknown"/>
    <x v="18"/>
    <d v="2025-07-15T00:00:00"/>
    <d v="2025-07-20T00:00:00"/>
    <s v="Dengue Fever With Thrombocytopenia"/>
    <s v="Platelet Support"/>
    <n v="66896.94"/>
    <x v="3"/>
    <x v="0"/>
    <s v="Admitted"/>
    <x v="3"/>
  </r>
  <r>
    <s v="HOSP-10073"/>
    <s v="Priya Nair"/>
    <x v="46"/>
    <x v="1"/>
    <x v="1"/>
    <s v="Oncology"/>
    <x v="1"/>
    <d v="2025-07-04T00:00:00"/>
    <d v="2025-07-21T00:00:00"/>
    <s v="Lung Adenocarcinoma"/>
    <s v="Unknown"/>
    <n v="285194.14"/>
    <x v="5"/>
    <x v="4"/>
    <s v="Transferred"/>
    <x v="3"/>
  </r>
  <r>
    <s v="HOSP-10074"/>
    <s v="Ritu Iyer"/>
    <x v="6"/>
    <x v="1"/>
    <x v="1"/>
    <s v="Gastroenterology"/>
    <x v="10"/>
    <d v="2025-12-23T00:00:00"/>
    <d v="2025-12-27T00:00:00"/>
    <s v="Liver Cirrhosis"/>
    <s v="Paracentesis &amp; Diuretics"/>
    <n v="212529.26"/>
    <x v="1"/>
    <x v="4"/>
    <s v="Discharged"/>
    <x v="3"/>
  </r>
  <r>
    <s v="HOSP-10075"/>
    <s v="Meera Mehta"/>
    <x v="42"/>
    <x v="3"/>
    <x v="10"/>
    <s v="Neurology"/>
    <x v="21"/>
    <d v="2025-01-25T00:00:00"/>
    <d v="2025-02-01T00:00:00"/>
    <s v="Migraine Chronic"/>
    <s v="Unknown"/>
    <n v="177019.16"/>
    <x v="2"/>
    <x v="4"/>
    <s v="Discharged Against Medical Advice"/>
    <x v="3"/>
  </r>
  <r>
    <s v="HOSP-10076"/>
    <s v="Ritu Kumar"/>
    <x v="20"/>
    <x v="1"/>
    <x v="0"/>
    <s v="Cardiology"/>
    <x v="11"/>
    <d v="2025-12-16T00:00:00"/>
    <d v="2025-12-29T00:00:00"/>
    <s v="Heart Failure"/>
    <s v="Ace Inhibitors &amp; Diuretics"/>
    <n v="123352.72"/>
    <x v="1"/>
    <x v="5"/>
    <s v="Expired"/>
    <x v="0"/>
  </r>
  <r>
    <s v="HOSP-10077"/>
    <s v="Kabir Verma"/>
    <x v="47"/>
    <x v="0"/>
    <x v="7"/>
    <s v="Cardiology"/>
    <x v="11"/>
    <d v="2025-05-25T00:00:00"/>
    <d v="2025-07-12T00:00:00"/>
    <s v="Coronary Artery Disease"/>
    <s v="Angioplasty"/>
    <n v="303411.21999999997"/>
    <x v="0"/>
    <x v="3"/>
    <s v="Admitted"/>
    <x v="2"/>
  </r>
  <r>
    <s v="HOSP-10078"/>
    <s v="Amit Nair"/>
    <x v="3"/>
    <x v="0"/>
    <x v="10"/>
    <s v="Oncology"/>
    <x v="5"/>
    <d v="2025-01-11T00:00:00"/>
    <d v="2025-01-22T00:00:00"/>
    <s v="Lung Adenocarcinoma"/>
    <s v="Targeted Therapy"/>
    <n v="276272.88"/>
    <x v="3"/>
    <x v="4"/>
    <s v="Discharged Against Medical Advice"/>
    <x v="3"/>
  </r>
  <r>
    <s v="HOSP-10079"/>
    <s v="Priya Sharma"/>
    <x v="48"/>
    <x v="1"/>
    <x v="0"/>
    <s v="Oncology"/>
    <x v="9"/>
    <d v="2025-10-01T00:00:00"/>
    <d v="2025-10-02T00:00:00"/>
    <s v="Lung Adenocarcinoma"/>
    <s v="Targeted Therapy"/>
    <n v="154201.07"/>
    <x v="4"/>
    <x v="3"/>
    <s v="Discharged Against Medical Advice"/>
    <x v="2"/>
  </r>
  <r>
    <s v="HOSP-10080"/>
    <s v="Ramesh Gupta"/>
    <x v="11"/>
    <x v="0"/>
    <x v="5"/>
    <s v="Oncology"/>
    <x v="19"/>
    <d v="2025-05-27T00:00:00"/>
    <d v="2025-06-06T00:00:00"/>
    <s v="Lymphoma"/>
    <s v="R-Chop Regimen"/>
    <n v="229647.94"/>
    <x v="2"/>
    <x v="0"/>
    <s v="Discharged"/>
    <x v="0"/>
  </r>
  <r>
    <s v="HOSP-10081"/>
    <s v="Unknown"/>
    <x v="3"/>
    <x v="0"/>
    <x v="3"/>
    <s v="General Medicine"/>
    <x v="2"/>
    <d v="2025-12-18T00:00:00"/>
    <d v="2025-12-23T00:00:00"/>
    <s v="Hypertensive Crisis"/>
    <s v="IV Labetalol"/>
    <n v="229811.18"/>
    <x v="7"/>
    <x v="2"/>
    <s v="Discharged"/>
    <x v="3"/>
  </r>
  <r>
    <s v="HOSP-10082"/>
    <s v="Ritu Kumar"/>
    <x v="43"/>
    <x v="1"/>
    <x v="2"/>
    <s v="Unknown"/>
    <x v="4"/>
    <d v="2025-09-16T00:00:00"/>
    <d v="2025-09-27T00:00:00"/>
    <s v="Acute Bronchiolitis"/>
    <s v="Nebulization &amp; O2 Support"/>
    <n v="279358.83"/>
    <x v="2"/>
    <x v="0"/>
    <s v="Transferred"/>
    <x v="0"/>
  </r>
  <r>
    <s v="HOSP-10083"/>
    <s v="Pooja Bose"/>
    <x v="23"/>
    <x v="1"/>
    <x v="0"/>
    <s v="Pediatrics"/>
    <x v="6"/>
    <d v="2025-11-18T00:00:00"/>
    <d v="2025-11-24T00:00:00"/>
    <s v="Severe Pneumonia"/>
    <s v="IV Antibiotics"/>
    <n v="144977.74"/>
    <x v="5"/>
    <x v="0"/>
    <s v="Discharged"/>
    <x v="2"/>
  </r>
  <r>
    <s v="HOSP-10084"/>
    <s v="Suresh Mehta"/>
    <x v="43"/>
    <x v="0"/>
    <x v="10"/>
    <s v="General Medicine"/>
    <x v="18"/>
    <d v="2025-01-04T00:00:00"/>
    <d v="2025-01-09T00:00:00"/>
    <s v="Hypertensive Crisis"/>
    <s v="IV Labetalol"/>
    <n v="33830.339999999997"/>
    <x v="3"/>
    <x v="4"/>
    <s v="Expired"/>
    <x v="0"/>
  </r>
  <r>
    <s v="HOSP-10085"/>
    <s v="Deepak Kumar"/>
    <x v="26"/>
    <x v="3"/>
    <x v="6"/>
    <s v="Oncology"/>
    <x v="1"/>
    <d v="2025-04-12T00:00:00"/>
    <d v="2025-04-22T00:00:00"/>
    <s v="Lymphoma"/>
    <s v="R-Chop Regimen"/>
    <n v="19666.78"/>
    <x v="5"/>
    <x v="4"/>
    <s v="Discharged"/>
    <x v="4"/>
  </r>
  <r>
    <s v="HOSP-10086"/>
    <s v="Aditya Bose"/>
    <x v="42"/>
    <x v="0"/>
    <x v="7"/>
    <s v="General Medicine"/>
    <x v="18"/>
    <d v="2025-11-06T00:00:00"/>
    <d v="2025-11-21T00:00:00"/>
    <s v="Hypertensive Crisis"/>
    <s v="IV Labetalol"/>
    <n v="20324.259999999998"/>
    <x v="3"/>
    <x v="2"/>
    <s v="Discharged Against Medical Advice"/>
    <x v="3"/>
  </r>
  <r>
    <s v="HOSP-10087"/>
    <s v="Suresh Singh"/>
    <x v="2"/>
    <x v="0"/>
    <x v="10"/>
    <s v="Oncology"/>
    <x v="19"/>
    <d v="2025-09-28T00:00:00"/>
    <d v="2025-10-08T00:00:00"/>
    <s v="Lymphoma"/>
    <s v="R-Chop Regimen"/>
    <n v="320565.07"/>
    <x v="4"/>
    <x v="4"/>
    <s v="Expired"/>
    <x v="2"/>
  </r>
  <r>
    <s v="HOSP-10088"/>
    <s v="Ritu Mehta"/>
    <x v="36"/>
    <x v="1"/>
    <x v="6"/>
    <s v="Gastroenterology"/>
    <x v="10"/>
    <d v="2025-10-19T00:00:00"/>
    <d v="2025-10-31T00:00:00"/>
    <s v="Acute Pancreatitis"/>
    <s v="Conservative Management"/>
    <n v="230031.26"/>
    <x v="1"/>
    <x v="0"/>
    <s v="Discharged"/>
    <x v="3"/>
  </r>
  <r>
    <s v="HOSP-10089"/>
    <s v="Pooja Joshi"/>
    <x v="16"/>
    <x v="1"/>
    <x v="6"/>
    <s v="Cardiology"/>
    <x v="5"/>
    <d v="2025-05-10T00:00:00"/>
    <d v="2025-05-18T00:00:00"/>
    <s v="Arrhythmia"/>
    <s v="Pacemaker Implantation"/>
    <n v="258859.27"/>
    <x v="1"/>
    <x v="2"/>
    <s v="Discharged"/>
    <x v="4"/>
  </r>
  <r>
    <s v="HOSP-10090"/>
    <s v="Rajesh Iyer"/>
    <x v="49"/>
    <x v="0"/>
    <x v="2"/>
    <s v="Neurology"/>
    <x v="3"/>
    <d v="2025-09-28T00:00:00"/>
    <d v="2025-10-10T00:00:00"/>
    <s v="Epilepsy"/>
    <s v="Anticonvulsant Therapy"/>
    <n v="133462.39999999999"/>
    <x v="0"/>
    <x v="0"/>
    <s v="Discharged"/>
    <x v="3"/>
  </r>
  <r>
    <s v="HOSP-10091"/>
    <s v="Aarav Verma"/>
    <x v="6"/>
    <x v="0"/>
    <x v="3"/>
    <s v="Pediatrics"/>
    <x v="14"/>
    <d v="2025-08-13T00:00:00"/>
    <d v="2025-10-05T00:00:00"/>
    <s v="Viral Gastroenteritis"/>
    <s v="IV Fluids &amp; Electrolytes"/>
    <n v="326064.67"/>
    <x v="6"/>
    <x v="1"/>
    <s v="Admitted"/>
    <x v="3"/>
  </r>
  <r>
    <s v="HOSP-10092"/>
    <s v="Ritu Bose"/>
    <x v="50"/>
    <x v="1"/>
    <x v="4"/>
    <s v="Gastroenterology"/>
    <x v="10"/>
    <d v="2025-09-12T00:00:00"/>
    <d v="2025-09-29T00:00:00"/>
    <s v="Peptic Ulcer Bleeding"/>
    <s v="Endoscopic Banding"/>
    <n v="63936.59"/>
    <x v="7"/>
    <x v="0"/>
    <s v="Discharged Against Medical Advice"/>
    <x v="2"/>
  </r>
  <r>
    <s v="HOSP-10093"/>
    <s v="Sunita Gupta"/>
    <x v="51"/>
    <x v="1"/>
    <x v="8"/>
    <s v="General Medicine"/>
    <x v="7"/>
    <d v="2025-12-20T00:00:00"/>
    <d v="2025-12-31T00:00:00"/>
    <s v="Unknown"/>
    <s v="IV Labetalol"/>
    <n v="240187.3"/>
    <x v="0"/>
    <x v="0"/>
    <s v="Discharged"/>
    <x v="3"/>
  </r>
  <r>
    <s v="HOSP-10094"/>
    <s v="Manoj Mehta"/>
    <x v="52"/>
    <x v="0"/>
    <x v="7"/>
    <s v="Gastroenterology"/>
    <x v="0"/>
    <d v="2025-04-07T00:00:00"/>
    <d v="2025-04-18T00:00:00"/>
    <s v="Peptic Ulcer Bleeding"/>
    <s v="Endoscopic Banding"/>
    <n v="261143.73"/>
    <x v="1"/>
    <x v="3"/>
    <s v="Discharged Against Medical Advice"/>
    <x v="1"/>
  </r>
  <r>
    <s v="HOSP-10095"/>
    <s v="Kavita Iyer"/>
    <x v="53"/>
    <x v="1"/>
    <x v="6"/>
    <s v="Neurology"/>
    <x v="15"/>
    <d v="2025-02-12T00:00:00"/>
    <d v="2025-02-17T00:00:00"/>
    <s v="Migraine Chronic"/>
    <s v="Botox Injection &amp; Triptans"/>
    <n v="307755.56"/>
    <x v="7"/>
    <x v="1"/>
    <s v="Expired"/>
    <x v="4"/>
  </r>
  <r>
    <s v="HOSP-10096"/>
    <s v="Deepak Iyer"/>
    <x v="54"/>
    <x v="0"/>
    <x v="0"/>
    <s v="Orthopedics"/>
    <x v="13"/>
    <d v="2025-10-18T00:00:00"/>
    <d v="2025-11-03T00:00:00"/>
    <s v="Osteoarthritis Knee"/>
    <s v="Total Knee Replacement"/>
    <n v="347786.26"/>
    <x v="7"/>
    <x v="2"/>
    <s v="Expired"/>
    <x v="1"/>
  </r>
  <r>
    <s v="HOSP-10097"/>
    <s v="Diya Reddy"/>
    <x v="23"/>
    <x v="1"/>
    <x v="7"/>
    <s v="Gastroenterology"/>
    <x v="0"/>
    <d v="2025-07-24T00:00:00"/>
    <d v="2025-11-11T00:00:00"/>
    <s v="Gallstones / Cholecystitis"/>
    <s v="Laparoscopic Cholecystectomy"/>
    <n v="24001.08"/>
    <x v="0"/>
    <x v="0"/>
    <s v="Admitted"/>
    <x v="2"/>
  </r>
  <r>
    <s v="HOSP-10098"/>
    <s v="Ananya Kumar"/>
    <x v="55"/>
    <x v="1"/>
    <x v="6"/>
    <s v="General Medicine"/>
    <x v="2"/>
    <d v="2025-11-18T00:00:00"/>
    <d v="2025-11-19T00:00:00"/>
    <s v="Unknown"/>
    <s v="Platelet Support"/>
    <n v="246727.33"/>
    <x v="1"/>
    <x v="5"/>
    <s v="Discharged"/>
    <x v="4"/>
  </r>
  <r>
    <s v="HOSP-10099"/>
    <s v="Pooja Reddy"/>
    <x v="56"/>
    <x v="1"/>
    <x v="0"/>
    <s v="Gastroenterology"/>
    <x v="16"/>
    <d v="2025-06-17T00:00:00"/>
    <d v="2025-11-20T00:00:00"/>
    <s v="Unknown"/>
    <s v="Endoscopic Banding"/>
    <n v="281096.51"/>
    <x v="0"/>
    <x v="4"/>
    <s v="Discharged"/>
    <x v="4"/>
  </r>
  <r>
    <s v="HOSP-10100"/>
    <s v="Diya Kumar"/>
    <x v="6"/>
    <x v="1"/>
    <x v="8"/>
    <s v="Neurology"/>
    <x v="21"/>
    <d v="2025-11-07T00:00:00"/>
    <d v="2025-11-21T00:00:00"/>
    <s v="Epilepsy"/>
    <s v="Anticonvulsant Therapy"/>
    <n v="307214.53000000003"/>
    <x v="4"/>
    <x v="5"/>
    <s v="Expired"/>
    <x v="3"/>
  </r>
  <r>
    <s v="HOSP-10101"/>
    <s v="Ritu Sharma"/>
    <x v="6"/>
    <x v="1"/>
    <x v="5"/>
    <s v="Gastroenterology"/>
    <x v="0"/>
    <d v="2025-05-23T00:00:00"/>
    <d v="2025-05-31T00:00:00"/>
    <s v="Liver Cirrhosis"/>
    <s v="Paracentesis &amp; Diuretics"/>
    <n v="339192.39"/>
    <x v="7"/>
    <x v="4"/>
    <s v="Discharged"/>
    <x v="3"/>
  </r>
  <r>
    <s v="HOSP-10102"/>
    <s v="Sneha Kumar"/>
    <x v="12"/>
    <x v="1"/>
    <x v="4"/>
    <s v="Neurology"/>
    <x v="3"/>
    <d v="2025-12-14T00:00:00"/>
    <d v="2025-12-22T00:00:00"/>
    <s v="Parkinson'S Disease"/>
    <s v="Levodopa Therapy"/>
    <n v="325667.90999999997"/>
    <x v="1"/>
    <x v="4"/>
    <s v="Expired"/>
    <x v="0"/>
  </r>
  <r>
    <s v="HOSP-10103"/>
    <s v="Priya Bose"/>
    <x v="46"/>
    <x v="1"/>
    <x v="10"/>
    <s v="Cardiology"/>
    <x v="11"/>
    <d v="2025-07-15T00:00:00"/>
    <d v="2025-07-27T00:00:00"/>
    <s v="Coronary Artery Disease"/>
    <s v="Unknown"/>
    <n v="197706.83"/>
    <x v="3"/>
    <x v="3"/>
    <s v="Transferred"/>
    <x v="3"/>
  </r>
  <r>
    <s v="HOSP-10104"/>
    <s v="Neha Verma"/>
    <x v="20"/>
    <x v="1"/>
    <x v="2"/>
    <s v="Cardiology"/>
    <x v="11"/>
    <d v="2025-12-25T00:00:00"/>
    <d v="2025-12-30T00:00:00"/>
    <s v="Myocardial Infarction"/>
    <s v="Thrombolysis"/>
    <n v="143834.62"/>
    <x v="2"/>
    <x v="2"/>
    <s v="Discharged"/>
    <x v="0"/>
  </r>
  <r>
    <s v="HOSP-10105"/>
    <s v="Aarav Bose"/>
    <x v="18"/>
    <x v="2"/>
    <x v="3"/>
    <s v="Gastroenterology"/>
    <x v="10"/>
    <d v="2025-09-16T00:00:00"/>
    <d v="2025-09-29T00:00:00"/>
    <s v="Acute Pancreatitis"/>
    <s v="Conservative Management"/>
    <n v="84421.63"/>
    <x v="5"/>
    <x v="0"/>
    <s v="Transferred"/>
    <x v="3"/>
  </r>
  <r>
    <s v="HOSP-10106"/>
    <s v="Diya Bose"/>
    <x v="6"/>
    <x v="1"/>
    <x v="9"/>
    <s v="Neurology"/>
    <x v="3"/>
    <d v="2025-05-24T00:00:00"/>
    <d v="2025-08-15T00:00:00"/>
    <s v="Migraine Chronic"/>
    <s v="Botox Injection &amp; Triptans"/>
    <n v="167966.45"/>
    <x v="3"/>
    <x v="1"/>
    <s v="Admitted"/>
    <x v="3"/>
  </r>
  <r>
    <s v="HOSP-10107"/>
    <s v="Vikram Verma"/>
    <x v="13"/>
    <x v="0"/>
    <x v="9"/>
    <s v="Pediatrics"/>
    <x v="6"/>
    <d v="2025-06-29T00:00:00"/>
    <d v="2025-07-01T00:00:00"/>
    <s v="Viral Gastroenteritis"/>
    <s v="IV Fluids &amp; Electrolytes"/>
    <n v="302578.84000000003"/>
    <x v="1"/>
    <x v="5"/>
    <s v="Discharged"/>
    <x v="0"/>
  </r>
  <r>
    <s v="HOSP-10108"/>
    <s v="Priya Nair"/>
    <x v="57"/>
    <x v="1"/>
    <x v="9"/>
    <s v="Neurology"/>
    <x v="5"/>
    <d v="2025-08-05T00:00:00"/>
    <d v="2025-08-18T00:00:00"/>
    <s v="Epilepsy"/>
    <s v="Anticonvulsant Therapy"/>
    <n v="245228.63"/>
    <x v="1"/>
    <x v="1"/>
    <s v="Transferred"/>
    <x v="3"/>
  </r>
  <r>
    <s v="HOSP-10109"/>
    <s v="Sunita Singh"/>
    <x v="17"/>
    <x v="1"/>
    <x v="2"/>
    <s v="General Medicine"/>
    <x v="2"/>
    <d v="2025-06-19T00:00:00"/>
    <d v="2025-06-20T00:00:00"/>
    <s v="Hypertensive Crisis"/>
    <s v="IV Labetalol"/>
    <n v="196997.77"/>
    <x v="1"/>
    <x v="4"/>
    <s v="Expired"/>
    <x v="0"/>
  </r>
  <r>
    <s v="HOSP-10110"/>
    <s v="Rajesh Reddy"/>
    <x v="27"/>
    <x v="0"/>
    <x v="2"/>
    <s v="Orthopedics"/>
    <x v="13"/>
    <d v="2025-01-15T00:00:00"/>
    <d v="2025-04-03T00:00:00"/>
    <s v="Osteoarthritis Knee"/>
    <s v="Total Knee Replacement"/>
    <n v="208157.84"/>
    <x v="7"/>
    <x v="1"/>
    <s v="Transferred"/>
    <x v="2"/>
  </r>
  <r>
    <s v="HOSP-10111"/>
    <s v="Ramesh Sharma"/>
    <x v="52"/>
    <x v="0"/>
    <x v="8"/>
    <s v="Pediatrics"/>
    <x v="14"/>
    <d v="2025-01-03T00:00:00"/>
    <d v="2025-01-14T00:00:00"/>
    <s v="Viral Gastroenteritis"/>
    <s v="IV Fluids &amp; Electrolytes"/>
    <n v="192719.37"/>
    <x v="1"/>
    <x v="2"/>
    <s v="Discharged Against Medical Advice"/>
    <x v="1"/>
  </r>
  <r>
    <s v="HOSP-10112"/>
    <s v="Rajesh Joshi"/>
    <x v="12"/>
    <x v="0"/>
    <x v="9"/>
    <s v="Neurology"/>
    <x v="21"/>
    <d v="2025-10-23T00:00:00"/>
    <d v="2025-10-23T00:00:00"/>
    <s v="Migraine Chronic"/>
    <s v="Botox Injection &amp; Triptans"/>
    <n v="0"/>
    <x v="3"/>
    <x v="5"/>
    <s v="Admitted"/>
    <x v="0"/>
  </r>
  <r>
    <s v="HOSP-10113"/>
    <s v="Diya Joshi"/>
    <x v="44"/>
    <x v="1"/>
    <x v="2"/>
    <s v="Oncology"/>
    <x v="1"/>
    <d v="2025-05-23T00:00:00"/>
    <d v="2025-06-05T00:00:00"/>
    <s v="Breast Carcinoma"/>
    <s v="Chemotherapy &amp; Lumpectomy"/>
    <n v="20469.05"/>
    <x v="7"/>
    <x v="0"/>
    <s v="Discharged"/>
    <x v="4"/>
  </r>
  <r>
    <s v="HOSP-10114"/>
    <s v="Anjali Joshi"/>
    <x v="34"/>
    <x v="1"/>
    <x v="2"/>
    <s v="Neurology"/>
    <x v="21"/>
    <d v="2025-10-21T00:00:00"/>
    <d v="2025-11-01T00:00:00"/>
    <s v="Epilepsy"/>
    <s v="Anticonvulsant Therapy"/>
    <n v="61751.41"/>
    <x v="5"/>
    <x v="2"/>
    <s v="Expired"/>
    <x v="1"/>
  </r>
  <r>
    <s v="HOSP-10115"/>
    <s v="Priya Reddy"/>
    <x v="31"/>
    <x v="1"/>
    <x v="9"/>
    <s v="Unknown"/>
    <x v="5"/>
    <d v="2025-04-28T00:00:00"/>
    <d v="2025-05-13T00:00:00"/>
    <s v="Acute Pancreatitis"/>
    <s v="Conservative Management"/>
    <n v="192719.37"/>
    <x v="6"/>
    <x v="4"/>
    <s v="Discharged Against Medical Advice"/>
    <x v="1"/>
  </r>
  <r>
    <s v="HOSP-10116"/>
    <s v="Ramesh Mehta"/>
    <x v="58"/>
    <x v="0"/>
    <x v="10"/>
    <s v="Gastroenterology"/>
    <x v="0"/>
    <d v="2025-01-06T00:00:00"/>
    <d v="2025-01-17T00:00:00"/>
    <s v="Peptic Ulcer Bleeding"/>
    <s v="Endoscopic Banding"/>
    <n v="140940.70000000001"/>
    <x v="2"/>
    <x v="3"/>
    <s v="Expired"/>
    <x v="4"/>
  </r>
  <r>
    <s v="HOSP-10117"/>
    <s v="Deepak Mehta"/>
    <x v="50"/>
    <x v="0"/>
    <x v="10"/>
    <s v="Gastroenterology"/>
    <x v="0"/>
    <d v="2025-04-04T00:00:00"/>
    <d v="2025-04-16T00:00:00"/>
    <s v="Gallstones / Cholecystitis"/>
    <s v="Laparoscopic Cholecystectomy"/>
    <n v="13022.92"/>
    <x v="3"/>
    <x v="0"/>
    <s v="Discharged Against Medical Advice"/>
    <x v="2"/>
  </r>
  <r>
    <s v="HOSP-10118"/>
    <s v="Deepak Singh"/>
    <x v="6"/>
    <x v="0"/>
    <x v="3"/>
    <s v="Orthopedics"/>
    <x v="13"/>
    <d v="2025-10-10T00:00:00"/>
    <d v="2025-10-16T00:00:00"/>
    <s v="Rotator Cuff Tear"/>
    <s v="Arthroscopic Repair"/>
    <n v="218150.25"/>
    <x v="5"/>
    <x v="1"/>
    <s v="Expired"/>
    <x v="3"/>
  </r>
  <r>
    <s v="HOSP-10119"/>
    <s v="Ananya Reddy"/>
    <x v="59"/>
    <x v="1"/>
    <x v="10"/>
    <s v="Gastroenterology"/>
    <x v="10"/>
    <d v="2025-10-12T00:00:00"/>
    <d v="2025-10-12T00:00:00"/>
    <s v="Gallstones / Cholecystitis"/>
    <s v="Laparoscopic Cholecystectomy"/>
    <n v="164587.4"/>
    <x v="5"/>
    <x v="0"/>
    <s v="Admitted"/>
    <x v="3"/>
  </r>
  <r>
    <s v="HOSP-10120"/>
    <s v="Priya Bose"/>
    <x v="10"/>
    <x v="1"/>
    <x v="9"/>
    <s v="Orthopedics"/>
    <x v="12"/>
    <d v="2025-06-20T00:00:00"/>
    <d v="2025-06-20T00:00:00"/>
    <s v="Femur Fracture"/>
    <s v="Internal Fixation"/>
    <n v="110184.01"/>
    <x v="7"/>
    <x v="4"/>
    <s v="Unknown"/>
    <x v="0"/>
  </r>
  <r>
    <s v="HOSP-10121"/>
    <s v="Unknown"/>
    <x v="14"/>
    <x v="0"/>
    <x v="0"/>
    <s v="Gastroenterology"/>
    <x v="16"/>
    <d v="2025-01-07T00:00:00"/>
    <d v="2025-01-23T00:00:00"/>
    <s v="Gallstones / Cholecystitis"/>
    <s v="Laparoscopic Cholecystectomy"/>
    <n v="203771.22"/>
    <x v="3"/>
    <x v="4"/>
    <s v="Expired"/>
    <x v="0"/>
  </r>
  <r>
    <s v="HOSP-10122"/>
    <s v="Ananya Kumar"/>
    <x v="60"/>
    <x v="1"/>
    <x v="6"/>
    <s v="Cardiology"/>
    <x v="17"/>
    <d v="2025-02-03T00:00:00"/>
    <d v="2025-04-23T00:00:00"/>
    <s v="Arrhythmia"/>
    <s v="Pacemaker Implantation"/>
    <n v="342473.08"/>
    <x v="6"/>
    <x v="3"/>
    <s v="Discharged"/>
    <x v="4"/>
  </r>
  <r>
    <s v="HOSP-10123"/>
    <s v="Suresh Verma"/>
    <x v="6"/>
    <x v="0"/>
    <x v="7"/>
    <s v="Oncology"/>
    <x v="9"/>
    <d v="2025-07-19T00:00:00"/>
    <d v="2025-07-21T00:00:00"/>
    <s v="Unknown"/>
    <s v="Colectomy"/>
    <n v="10528.94"/>
    <x v="7"/>
    <x v="5"/>
    <s v="Discharged"/>
    <x v="3"/>
  </r>
  <r>
    <s v="HOSP-10124"/>
    <s v="Anjali Kumar"/>
    <x v="32"/>
    <x v="1"/>
    <x v="7"/>
    <s v="Oncology"/>
    <x v="19"/>
    <d v="2025-05-30T00:00:00"/>
    <d v="2025-06-08T00:00:00"/>
    <s v="Breast Carcinoma"/>
    <s v="Chemotherapy &amp; Lumpectomy"/>
    <n v="120795.08"/>
    <x v="3"/>
    <x v="5"/>
    <s v="Discharged"/>
    <x v="0"/>
  </r>
  <r>
    <s v="HOSP-10125"/>
    <s v="Kavita Iyer"/>
    <x v="52"/>
    <x v="1"/>
    <x v="3"/>
    <s v="Cardiology"/>
    <x v="11"/>
    <d v="2025-03-04T00:00:00"/>
    <d v="2025-03-15T00:00:00"/>
    <s v="Myocardial Infarction"/>
    <s v="Thrombolysis"/>
    <n v="267080.71000000002"/>
    <x v="0"/>
    <x v="1"/>
    <s v="Discharged Against Medical Advice"/>
    <x v="1"/>
  </r>
  <r>
    <s v="HOSP-10126"/>
    <s v="Diya Joshi"/>
    <x v="6"/>
    <x v="1"/>
    <x v="10"/>
    <s v="Unknown"/>
    <x v="3"/>
    <d v="2025-08-29T00:00:00"/>
    <d v="2025-09-05T00:00:00"/>
    <s v="Acute Ischemic Stroke"/>
    <s v="tPA Therapy"/>
    <n v="274996.57"/>
    <x v="2"/>
    <x v="3"/>
    <s v="Discharged"/>
    <x v="3"/>
  </r>
  <r>
    <s v="HOSP-10127"/>
    <s v="Amit Iyer"/>
    <x v="47"/>
    <x v="0"/>
    <x v="8"/>
    <s v="Oncology"/>
    <x v="9"/>
    <d v="2025-01-15T00:00:00"/>
    <d v="2025-10-05T00:00:00"/>
    <s v="Lymphoma"/>
    <s v="R-Chop Regimen"/>
    <n v="319520.46999999997"/>
    <x v="4"/>
    <x v="1"/>
    <s v="Admitted"/>
    <x v="2"/>
  </r>
  <r>
    <s v="HOSP-10128"/>
    <s v="Vihaan Gupta"/>
    <x v="61"/>
    <x v="0"/>
    <x v="2"/>
    <s v="Pediatrics"/>
    <x v="4"/>
    <d v="2025-10-16T00:00:00"/>
    <d v="2025-11-03T00:00:00"/>
    <s v="Viral Gastroenteritis"/>
    <s v="IV Fluids &amp; Electrolytes"/>
    <n v="171035.99"/>
    <x v="5"/>
    <x v="3"/>
    <s v="Discharged Against Medical Advice"/>
    <x v="0"/>
  </r>
  <r>
    <s v="HOSP-10129"/>
    <s v="Kabir Mehta"/>
    <x v="41"/>
    <x v="0"/>
    <x v="6"/>
    <s v="Orthopedics"/>
    <x v="20"/>
    <d v="2025-03-30T00:00:00"/>
    <d v="2025-04-16T00:00:00"/>
    <s v="Femur Fracture"/>
    <s v="Internal Fixation"/>
    <n v="185136.82"/>
    <x v="4"/>
    <x v="1"/>
    <s v="Unknown"/>
    <x v="1"/>
  </r>
  <r>
    <s v="HOSP-10130"/>
    <s v="Manoj Kumar"/>
    <x v="62"/>
    <x v="0"/>
    <x v="5"/>
    <s v="Neurology"/>
    <x v="15"/>
    <d v="2025-06-23T00:00:00"/>
    <d v="2025-07-07T00:00:00"/>
    <s v="Parkinson'S Disease"/>
    <s v="Unknown"/>
    <n v="94467.58"/>
    <x v="1"/>
    <x v="1"/>
    <s v="Expired"/>
    <x v="3"/>
  </r>
  <r>
    <s v="HOSP-10131"/>
    <s v="Manoj Patel"/>
    <x v="63"/>
    <x v="0"/>
    <x v="2"/>
    <s v="Oncology"/>
    <x v="9"/>
    <d v="2025-06-06T00:00:00"/>
    <d v="2025-06-15T00:00:00"/>
    <s v="Lymphoma"/>
    <s v="R-Chop Regimen"/>
    <n v="20656.7"/>
    <x v="5"/>
    <x v="1"/>
    <s v="Discharged"/>
    <x v="0"/>
  </r>
  <r>
    <s v="HOSP-10132"/>
    <s v="Diya Singh"/>
    <x v="64"/>
    <x v="1"/>
    <x v="4"/>
    <s v="Orthopedics"/>
    <x v="20"/>
    <d v="2025-01-01T00:00:00"/>
    <d v="2025-01-05T00:00:00"/>
    <s v="Osteoarthritis Knee"/>
    <s v="Total Knee Replacement"/>
    <n v="181016.57"/>
    <x v="0"/>
    <x v="2"/>
    <s v="Expired"/>
    <x v="1"/>
  </r>
  <r>
    <s v="HOSP-10133"/>
    <s v="Vihaan Singh"/>
    <x v="7"/>
    <x v="0"/>
    <x v="4"/>
    <s v="Pediatrics"/>
    <x v="4"/>
    <d v="2025-03-21T00:00:00"/>
    <d v="2025-04-04T00:00:00"/>
    <s v="Neonatal Jaundice"/>
    <s v="Phototherapy"/>
    <n v="309912.63"/>
    <x v="0"/>
    <x v="0"/>
    <s v="Discharged"/>
    <x v="4"/>
  </r>
  <r>
    <s v="HOSP-10134"/>
    <s v="Kavita Verma"/>
    <x v="12"/>
    <x v="1"/>
    <x v="3"/>
    <s v="Gastroenterology"/>
    <x v="10"/>
    <d v="2025-08-29T00:00:00"/>
    <d v="2025-08-29T00:00:00"/>
    <s v="Acute Pancreatitis"/>
    <s v="Conservative Management"/>
    <n v="141900.42000000001"/>
    <x v="1"/>
    <x v="4"/>
    <s v="Unknown"/>
    <x v="0"/>
  </r>
  <r>
    <s v="HOSP-10135"/>
    <s v="Rajesh Reddy"/>
    <x v="46"/>
    <x v="0"/>
    <x v="7"/>
    <s v="Oncology"/>
    <x v="9"/>
    <d v="2025-07-09T00:00:00"/>
    <d v="2025-07-18T00:00:00"/>
    <s v="Lung Adenocarcinoma"/>
    <s v="Targeted Therapy"/>
    <n v="308685.09000000003"/>
    <x v="1"/>
    <x v="1"/>
    <s v="Discharged Against Medical Advice"/>
    <x v="3"/>
  </r>
  <r>
    <s v="HOSP-10136"/>
    <s v="Priya Gupta"/>
    <x v="34"/>
    <x v="1"/>
    <x v="3"/>
    <s v="Neurology"/>
    <x v="21"/>
    <d v="2025-12-06T00:00:00"/>
    <d v="2025-12-06T00:00:00"/>
    <s v="Acute Ischemic Stroke"/>
    <s v="tPA Therapy"/>
    <n v="68547.92"/>
    <x v="7"/>
    <x v="0"/>
    <s v="Discharged"/>
    <x v="1"/>
  </r>
  <r>
    <s v="HOSP-10137"/>
    <s v="Rajesh Joshi"/>
    <x v="4"/>
    <x v="0"/>
    <x v="6"/>
    <s v="Pediatrics"/>
    <x v="6"/>
    <d v="2025-02-03T00:00:00"/>
    <d v="2025-02-12T00:00:00"/>
    <s v="Viral Gastroenteritis"/>
    <s v="IV Fluids &amp; Electrolytes"/>
    <n v="88870.79"/>
    <x v="5"/>
    <x v="1"/>
    <s v="Expired"/>
    <x v="1"/>
  </r>
  <r>
    <s v="HOSP-10138"/>
    <s v="Rohan Reddy"/>
    <x v="17"/>
    <x v="0"/>
    <x v="8"/>
    <s v="Gastroenterology"/>
    <x v="10"/>
    <d v="2025-05-21T00:00:00"/>
    <d v="2025-05-21T00:00:00"/>
    <s v="Gallstones / Cholecystitis"/>
    <s v="Laparoscopic Cholecystectomy"/>
    <n v="81695.98"/>
    <x v="2"/>
    <x v="1"/>
    <s v="Admitted"/>
    <x v="0"/>
  </r>
  <r>
    <s v="HOSP-10139"/>
    <s v="Deepak Joshi"/>
    <x v="65"/>
    <x v="0"/>
    <x v="3"/>
    <s v="Orthopedics"/>
    <x v="20"/>
    <d v="2025-02-11T00:00:00"/>
    <d v="2025-02-16T00:00:00"/>
    <s v="Femur Fracture"/>
    <s v="Internal Fixation"/>
    <n v="88523.45"/>
    <x v="1"/>
    <x v="3"/>
    <s v="Discharged"/>
    <x v="2"/>
  </r>
  <r>
    <s v="HOSP-10140"/>
    <s v="Vikram Nair"/>
    <x v="6"/>
    <x v="0"/>
    <x v="6"/>
    <s v="Oncology"/>
    <x v="1"/>
    <d v="2025-01-14T00:00:00"/>
    <d v="2025-01-22T00:00:00"/>
    <s v="Breast Carcinoma"/>
    <s v="Chemotherapy &amp; Lumpectomy"/>
    <n v="221590.42"/>
    <x v="1"/>
    <x v="3"/>
    <s v="Discharged"/>
    <x v="3"/>
  </r>
  <r>
    <s v="HOSP-10141"/>
    <s v="Vihaan Reddy"/>
    <x v="61"/>
    <x v="0"/>
    <x v="4"/>
    <s v="Neurology"/>
    <x v="3"/>
    <d v="2025-03-23T00:00:00"/>
    <d v="2025-03-23T00:00:00"/>
    <s v="Migraine Chronic"/>
    <s v="Botox Injection &amp; Triptans"/>
    <n v="211178.03"/>
    <x v="1"/>
    <x v="4"/>
    <s v="Admitted"/>
    <x v="0"/>
  </r>
  <r>
    <s v="HOSP-10142"/>
    <s v="Sneha Verma"/>
    <x v="66"/>
    <x v="1"/>
    <x v="7"/>
    <s v="Gastroenterology"/>
    <x v="10"/>
    <d v="2025-03-24T00:00:00"/>
    <d v="2025-04-05T00:00:00"/>
    <s v="Acute Pancreatitis"/>
    <s v="Conservative Management"/>
    <n v="271070.28000000003"/>
    <x v="0"/>
    <x v="3"/>
    <s v="Discharged Against Medical Advice"/>
    <x v="1"/>
  </r>
  <r>
    <s v="HOSP-10143"/>
    <s v="Anjali Nair"/>
    <x v="65"/>
    <x v="1"/>
    <x v="0"/>
    <s v="Orthopedics"/>
    <x v="13"/>
    <d v="2025-07-15T00:00:00"/>
    <d v="2025-09-12T00:00:00"/>
    <s v="Osteoarthritis Knee"/>
    <s v="Total Knee Replacement"/>
    <n v="192719.37"/>
    <x v="1"/>
    <x v="1"/>
    <s v="Expired"/>
    <x v="2"/>
  </r>
  <r>
    <s v="HOSP-10144"/>
    <s v="Kavita Bose"/>
    <x v="2"/>
    <x v="1"/>
    <x v="8"/>
    <s v="Neurology"/>
    <x v="21"/>
    <d v="2025-11-04T00:00:00"/>
    <d v="2025-11-15T00:00:00"/>
    <s v="Acute Ischemic Stroke"/>
    <s v="tPA Therapy"/>
    <n v="286748.51"/>
    <x v="2"/>
    <x v="3"/>
    <s v="Expired"/>
    <x v="2"/>
  </r>
  <r>
    <s v="HOSP-10145"/>
    <s v="Vikram Mehta"/>
    <x v="67"/>
    <x v="0"/>
    <x v="6"/>
    <s v="Orthopedics"/>
    <x v="12"/>
    <d v="2025-03-26T00:00:00"/>
    <d v="2025-11-10T00:00:00"/>
    <s v="Lumbar Spondylosis"/>
    <s v="Spinal Decompression"/>
    <n v="138546.84"/>
    <x v="4"/>
    <x v="3"/>
    <s v="Admitted"/>
    <x v="3"/>
  </r>
  <r>
    <s v="HOSP-10146"/>
    <s v="Rohan Sharma"/>
    <x v="6"/>
    <x v="0"/>
    <x v="9"/>
    <s v="Cardiology"/>
    <x v="17"/>
    <d v="2025-10-20T00:00:00"/>
    <d v="2025-11-05T00:00:00"/>
    <s v="Arrhythmia"/>
    <s v="Pacemaker Implantation"/>
    <n v="347176.11"/>
    <x v="0"/>
    <x v="4"/>
    <s v="Discharged Against Medical Advice"/>
    <x v="3"/>
  </r>
  <r>
    <s v="HOSP-10147"/>
    <s v="Amit Mehta"/>
    <x v="67"/>
    <x v="0"/>
    <x v="5"/>
    <s v="Orthopedics"/>
    <x v="20"/>
    <d v="2025-04-19T00:00:00"/>
    <d v="2025-04-27T00:00:00"/>
    <s v="Osteoarthritis Knee"/>
    <s v="Total Knee Replacement"/>
    <n v="296274.05"/>
    <x v="4"/>
    <x v="0"/>
    <s v="Expired"/>
    <x v="3"/>
  </r>
  <r>
    <s v="HOSP-10148"/>
    <s v="Vikram Reddy"/>
    <x v="68"/>
    <x v="0"/>
    <x v="10"/>
    <s v="Gastroenterology"/>
    <x v="10"/>
    <d v="2025-08-31T00:00:00"/>
    <d v="2025-08-31T00:00:00"/>
    <s v="Liver Cirrhosis"/>
    <s v="Paracentesis &amp; Diuretics"/>
    <n v="263655.98"/>
    <x v="3"/>
    <x v="4"/>
    <s v="Admitted"/>
    <x v="1"/>
  </r>
  <r>
    <s v="HOSP-10149"/>
    <s v="Deepak Bose"/>
    <x v="14"/>
    <x v="2"/>
    <x v="1"/>
    <s v="Orthopedics"/>
    <x v="20"/>
    <d v="2025-09-03T00:00:00"/>
    <d v="2025-09-03T00:00:00"/>
    <s v="Lumbar Spondylosis"/>
    <s v="Spinal Decompression"/>
    <n v="274232.43"/>
    <x v="1"/>
    <x v="1"/>
    <s v="Admitted"/>
    <x v="0"/>
  </r>
  <r>
    <s v="HOSP-10150"/>
    <s v="Anita Verma"/>
    <x v="69"/>
    <x v="1"/>
    <x v="5"/>
    <s v="Orthopedics"/>
    <x v="20"/>
    <d v="2025-01-10T00:00:00"/>
    <d v="2025-01-27T00:00:00"/>
    <s v="Rotator Cuff Tear"/>
    <s v="Arthroscopic Repair"/>
    <n v="212814.74"/>
    <x v="1"/>
    <x v="5"/>
    <s v="Expired"/>
    <x v="4"/>
  </r>
  <r>
    <s v="HOSP-10151"/>
    <s v="Kabir Singh"/>
    <x v="70"/>
    <x v="0"/>
    <x v="9"/>
    <s v="Pediatrics"/>
    <x v="14"/>
    <d v="2025-02-25T00:00:00"/>
    <d v="2025-03-13T00:00:00"/>
    <s v="Neonatal Jaundice"/>
    <s v="Phototherapy"/>
    <n v="167131.29"/>
    <x v="1"/>
    <x v="1"/>
    <s v="Expired"/>
    <x v="3"/>
  </r>
  <r>
    <s v="HOSP-10152"/>
    <s v="Kabir Iyer"/>
    <x v="3"/>
    <x v="0"/>
    <x v="7"/>
    <s v="Orthopedics"/>
    <x v="12"/>
    <d v="2025-07-27T00:00:00"/>
    <d v="2025-07-27T00:00:00"/>
    <s v="Femur Fracture"/>
    <s v="Internal Fixation"/>
    <n v="326680.27"/>
    <x v="2"/>
    <x v="1"/>
    <s v="Discharged"/>
    <x v="3"/>
  </r>
  <r>
    <s v="HOSP-10153"/>
    <s v="Ananya Bose"/>
    <x v="10"/>
    <x v="1"/>
    <x v="8"/>
    <s v="Orthopedics"/>
    <x v="13"/>
    <d v="2025-12-26T00:00:00"/>
    <d v="2025-12-26T00:00:00"/>
    <s v="Rotator Cuff Tear"/>
    <s v="Arthroscopic Repair"/>
    <n v="296096.15000000002"/>
    <x v="7"/>
    <x v="0"/>
    <s v="Admitted"/>
    <x v="0"/>
  </r>
  <r>
    <s v="HOSP-10154"/>
    <s v="Rajesh Singh"/>
    <x v="71"/>
    <x v="0"/>
    <x v="8"/>
    <s v="Cardiology"/>
    <x v="17"/>
    <d v="2025-07-04T00:00:00"/>
    <d v="2025-07-04T00:00:00"/>
    <s v="Arrhythmia"/>
    <s v="Pacemaker Implantation"/>
    <n v="296656.08"/>
    <x v="4"/>
    <x v="2"/>
    <s v="Admitted"/>
    <x v="2"/>
  </r>
  <r>
    <s v="HOSP-10155"/>
    <s v="Kavita Sharma"/>
    <x v="18"/>
    <x v="1"/>
    <x v="10"/>
    <s v="Pediatrics"/>
    <x v="6"/>
    <d v="2025-03-19T00:00:00"/>
    <d v="2025-03-24T00:00:00"/>
    <s v="Viral Gastroenteritis"/>
    <s v="IV Fluids &amp; Electrolytes"/>
    <n v="319545.57"/>
    <x v="1"/>
    <x v="5"/>
    <s v="Discharged Against Medical Advice"/>
    <x v="3"/>
  </r>
  <r>
    <s v="HOSP-10156"/>
    <s v="Rajesh Kumar"/>
    <x v="72"/>
    <x v="0"/>
    <x v="4"/>
    <s v="Pediatrics"/>
    <x v="4"/>
    <d v="2025-02-28T00:00:00"/>
    <d v="2025-03-18T00:00:00"/>
    <s v="Acute Bronchiolitis"/>
    <s v="Nebulization &amp; O2 Support"/>
    <n v="288794.3"/>
    <x v="7"/>
    <x v="3"/>
    <s v="Transferred"/>
    <x v="4"/>
  </r>
  <r>
    <s v="HOSP-10157"/>
    <s v="Ritu Sharma"/>
    <x v="73"/>
    <x v="1"/>
    <x v="4"/>
    <s v="Pediatrics"/>
    <x v="6"/>
    <d v="2025-06-15T00:00:00"/>
    <d v="2025-06-29T00:00:00"/>
    <s v="Neonatal Jaundice"/>
    <s v="Phototherapy"/>
    <n v="216146.47"/>
    <x v="6"/>
    <x v="0"/>
    <s v="Transferred"/>
    <x v="4"/>
  </r>
  <r>
    <s v="HOSP-10158"/>
    <s v="Ananya Mehta"/>
    <x v="74"/>
    <x v="1"/>
    <x v="2"/>
    <s v="Unknown"/>
    <x v="14"/>
    <d v="2025-09-11T00:00:00"/>
    <d v="2025-09-11T00:00:00"/>
    <s v="Severe Pneumonia"/>
    <s v="IV Antibiotics"/>
    <n v="206117.65"/>
    <x v="7"/>
    <x v="4"/>
    <s v="Admitted"/>
    <x v="2"/>
  </r>
  <r>
    <s v="HOSP-10159"/>
    <s v="Pooja Nair"/>
    <x v="75"/>
    <x v="1"/>
    <x v="2"/>
    <s v="Oncology"/>
    <x v="19"/>
    <d v="2025-07-15T00:00:00"/>
    <d v="2025-07-19T00:00:00"/>
    <s v="Colorectal Cancer"/>
    <s v="Colectomy"/>
    <n v="291252.39"/>
    <x v="4"/>
    <x v="3"/>
    <s v="Transferred"/>
    <x v="4"/>
  </r>
  <r>
    <s v="HOSP-10160"/>
    <s v="Kavita Patel"/>
    <x v="76"/>
    <x v="1"/>
    <x v="8"/>
    <s v="General Medicine"/>
    <x v="7"/>
    <d v="2025-04-28T00:00:00"/>
    <d v="2025-05-16T00:00:00"/>
    <s v="Dengue Fever With Thrombocytopenia"/>
    <s v="Platelet Support"/>
    <n v="260581.65"/>
    <x v="5"/>
    <x v="0"/>
    <s v="Discharged Against Medical Advice"/>
    <x v="4"/>
  </r>
  <r>
    <s v="HOSP-10161"/>
    <s v="Kavita Joshi"/>
    <x v="77"/>
    <x v="1"/>
    <x v="7"/>
    <s v="Oncology"/>
    <x v="19"/>
    <d v="2025-01-15T00:00:00"/>
    <d v="2025-01-28T00:00:00"/>
    <s v="Lung Adenocarcinoma"/>
    <s v="Targeted Therapy"/>
    <n v="0"/>
    <x v="7"/>
    <x v="3"/>
    <s v="Discharged Against Medical Advice"/>
    <x v="4"/>
  </r>
  <r>
    <s v="HOSP-10162"/>
    <s v="Pooja Singh"/>
    <x v="0"/>
    <x v="1"/>
    <x v="3"/>
    <s v="Oncology"/>
    <x v="9"/>
    <d v="2025-09-28T00:00:00"/>
    <d v="2025-10-10T00:00:00"/>
    <s v="Unknown"/>
    <s v="Chemotherapy &amp; Lumpectomy"/>
    <n v="325321.69"/>
    <x v="1"/>
    <x v="2"/>
    <s v="Expired"/>
    <x v="0"/>
  </r>
  <r>
    <s v="HOSP-10163"/>
    <s v="Anita Patel"/>
    <x v="77"/>
    <x v="1"/>
    <x v="9"/>
    <s v="Oncology"/>
    <x v="9"/>
    <d v="2025-07-06T00:00:00"/>
    <d v="2025-07-19T00:00:00"/>
    <s v="Colorectal Cancer"/>
    <s v="Colectomy"/>
    <n v="191669.61"/>
    <x v="2"/>
    <x v="5"/>
    <s v="Transferred"/>
    <x v="4"/>
  </r>
  <r>
    <s v="HOSP-10164"/>
    <s v="Neha Joshi"/>
    <x v="24"/>
    <x v="1"/>
    <x v="5"/>
    <s v="Gastroenterology"/>
    <x v="16"/>
    <d v="2025-03-01T00:00:00"/>
    <d v="2025-10-10T00:00:00"/>
    <s v="Peptic Ulcer Bleeding"/>
    <s v="Endoscopic Banding"/>
    <n v="257496.48"/>
    <x v="2"/>
    <x v="1"/>
    <s v="Admitted"/>
    <x v="4"/>
  </r>
  <r>
    <s v="HOSP-10165"/>
    <s v="Priya Mehta"/>
    <x v="51"/>
    <x v="1"/>
    <x v="3"/>
    <s v="General Medicine"/>
    <x v="18"/>
    <d v="2025-12-27T00:00:00"/>
    <d v="2025-12-31T00:00:00"/>
    <s v="Type 2 Diabetes Uncontrolled"/>
    <s v="Insulin Titration"/>
    <n v="328694.76"/>
    <x v="0"/>
    <x v="3"/>
    <s v="Discharged Against Medical Advice"/>
    <x v="3"/>
  </r>
  <r>
    <s v="HOSP-10166"/>
    <s v="Ramesh Reddy"/>
    <x v="78"/>
    <x v="0"/>
    <x v="5"/>
    <s v="Cardiology"/>
    <x v="8"/>
    <d v="2025-06-10T00:00:00"/>
    <d v="2025-06-26T00:00:00"/>
    <s v="Myocardial Infarction"/>
    <s v="Thrombolysis"/>
    <n v="0"/>
    <x v="0"/>
    <x v="4"/>
    <s v="Expired"/>
    <x v="2"/>
  </r>
  <r>
    <s v="HOSP-10167"/>
    <s v="Unknown"/>
    <x v="6"/>
    <x v="0"/>
    <x v="8"/>
    <s v="Pediatrics"/>
    <x v="4"/>
    <d v="2025-03-28T00:00:00"/>
    <d v="2025-04-01T00:00:00"/>
    <s v="Unknown"/>
    <s v="Phototherapy"/>
    <n v="219135.3"/>
    <x v="0"/>
    <x v="3"/>
    <s v="Expired"/>
    <x v="3"/>
  </r>
  <r>
    <s v="HOSP-10168"/>
    <s v="Ananya Joshi"/>
    <x v="56"/>
    <x v="1"/>
    <x v="9"/>
    <s v="Oncology"/>
    <x v="19"/>
    <d v="2025-03-04T00:00:00"/>
    <d v="2025-03-20T00:00:00"/>
    <s v="Breast Carcinoma"/>
    <s v="Chemotherapy &amp; Lumpectomy"/>
    <n v="129775.24"/>
    <x v="3"/>
    <x v="1"/>
    <s v="Discharged"/>
    <x v="4"/>
  </r>
  <r>
    <s v="HOSP-10169"/>
    <s v="Ramesh Sharma"/>
    <x v="60"/>
    <x v="0"/>
    <x v="6"/>
    <s v="Neurology"/>
    <x v="15"/>
    <d v="2025-05-01T00:00:00"/>
    <d v="2025-05-06T00:00:00"/>
    <s v="Parkinson'S Disease"/>
    <s v="Levodopa Therapy"/>
    <n v="41341.620000000003"/>
    <x v="1"/>
    <x v="1"/>
    <s v="Discharged"/>
    <x v="4"/>
  </r>
  <r>
    <s v="HOSP-10170"/>
    <s v="Kavita Reddy"/>
    <x v="21"/>
    <x v="1"/>
    <x v="9"/>
    <s v="Gastroenterology"/>
    <x v="0"/>
    <d v="2025-01-05T00:00:00"/>
    <d v="2025-01-08T00:00:00"/>
    <s v="Peptic Ulcer Bleeding"/>
    <s v="Endoscopic Banding"/>
    <n v="146620.88"/>
    <x v="1"/>
    <x v="1"/>
    <s v="Discharged Against Medical Advice"/>
    <x v="4"/>
  </r>
  <r>
    <s v="HOSP-10171"/>
    <s v="Sneha Joshi"/>
    <x v="25"/>
    <x v="3"/>
    <x v="7"/>
    <s v="Oncology"/>
    <x v="19"/>
    <d v="2025-07-26T00:00:00"/>
    <d v="2025-07-26T00:00:00"/>
    <s v="Lung Adenocarcinoma"/>
    <s v="Targeted Therapy"/>
    <n v="63274.400000000001"/>
    <x v="5"/>
    <x v="3"/>
    <s v="Admitted"/>
    <x v="1"/>
  </r>
  <r>
    <s v="HOSP-10172"/>
    <s v="Aditya Nair"/>
    <x v="14"/>
    <x v="0"/>
    <x v="2"/>
    <s v="Pediatrics"/>
    <x v="4"/>
    <d v="2025-07-16T00:00:00"/>
    <d v="2025-07-26T00:00:00"/>
    <s v="Viral Gastroenteritis"/>
    <s v="IV Fluids &amp; Electrolytes"/>
    <n v="47162.34"/>
    <x v="3"/>
    <x v="4"/>
    <s v="Discharged"/>
    <x v="0"/>
  </r>
  <r>
    <s v="HOSP-10173"/>
    <s v="Rohan Patel"/>
    <x v="6"/>
    <x v="0"/>
    <x v="4"/>
    <s v="Neurology"/>
    <x v="3"/>
    <d v="2025-07-01T00:00:00"/>
    <d v="2025-07-09T00:00:00"/>
    <s v="Acute Ischemic Stroke"/>
    <s v="tPA Therapy"/>
    <n v="61086.32"/>
    <x v="2"/>
    <x v="0"/>
    <s v="Expired"/>
    <x v="3"/>
  </r>
  <r>
    <s v="HOSP-10174"/>
    <s v="Unknown"/>
    <x v="79"/>
    <x v="0"/>
    <x v="8"/>
    <s v="Orthopedics"/>
    <x v="20"/>
    <d v="2025-01-11T00:00:00"/>
    <d v="2025-01-12T00:00:00"/>
    <s v="Rotator Cuff Tear"/>
    <s v="Arthroscopic Repair"/>
    <n v="296960.7"/>
    <x v="1"/>
    <x v="3"/>
    <s v="Expired"/>
    <x v="3"/>
  </r>
  <r>
    <s v="HOSP-10175"/>
    <s v="Rohan Joshi"/>
    <x v="37"/>
    <x v="0"/>
    <x v="2"/>
    <s v="Orthopedics"/>
    <x v="20"/>
    <d v="2025-02-07T00:00:00"/>
    <d v="2025-02-08T00:00:00"/>
    <s v="Rotator Cuff Tear"/>
    <s v="Arthroscopic Repair"/>
    <n v="145643.35999999999"/>
    <x v="1"/>
    <x v="2"/>
    <s v="Admitted"/>
    <x v="4"/>
  </r>
  <r>
    <s v="HOSP-10176"/>
    <s v="Manoj Bose"/>
    <x v="74"/>
    <x v="0"/>
    <x v="0"/>
    <s v="Oncology"/>
    <x v="1"/>
    <d v="2025-03-05T00:00:00"/>
    <d v="2025-03-07T00:00:00"/>
    <s v="Colorectal Cancer"/>
    <s v="Colectomy"/>
    <n v="122826.86"/>
    <x v="1"/>
    <x v="0"/>
    <s v="Discharged Against Medical Advice"/>
    <x v="2"/>
  </r>
  <r>
    <s v="HOSP-10177"/>
    <s v="Amit Sharma"/>
    <x v="24"/>
    <x v="0"/>
    <x v="6"/>
    <s v="Oncology"/>
    <x v="9"/>
    <d v="2025-05-22T00:00:00"/>
    <d v="2025-05-26T00:00:00"/>
    <s v="Unknown"/>
    <s v="Targeted Therapy"/>
    <n v="110842.75"/>
    <x v="3"/>
    <x v="0"/>
    <s v="Expired"/>
    <x v="4"/>
  </r>
  <r>
    <s v="HOSP-10178"/>
    <s v="Deepak Sharma"/>
    <x v="6"/>
    <x v="0"/>
    <x v="10"/>
    <s v="General Medicine"/>
    <x v="2"/>
    <d v="2025-06-03T00:00:00"/>
    <d v="2025-06-11T00:00:00"/>
    <s v="Urinary Tract Infection"/>
    <s v="Antibiotic Course"/>
    <n v="263979.82"/>
    <x v="3"/>
    <x v="1"/>
    <s v="Transferred"/>
    <x v="3"/>
  </r>
  <r>
    <s v="HOSP-10179"/>
    <s v="Ananya Singh"/>
    <x v="73"/>
    <x v="1"/>
    <x v="9"/>
    <s v="Pediatrics"/>
    <x v="6"/>
    <d v="2025-01-06T00:00:00"/>
    <d v="2025-01-19T00:00:00"/>
    <s v="Acute Bronchiolitis"/>
    <s v="Nebulization &amp; O2 Support"/>
    <n v="78147.22"/>
    <x v="3"/>
    <x v="2"/>
    <s v="Transferred"/>
    <x v="4"/>
  </r>
  <r>
    <s v="HOSP-10180"/>
    <s v="Vikram Mehta"/>
    <x v="21"/>
    <x v="0"/>
    <x v="5"/>
    <s v="Pediatrics"/>
    <x v="6"/>
    <d v="2025-04-24T00:00:00"/>
    <d v="2025-04-24T00:00:00"/>
    <s v="Severe Pneumonia"/>
    <s v="IV Antibiotics"/>
    <n v="240033.83"/>
    <x v="3"/>
    <x v="0"/>
    <s v="Admitted"/>
    <x v="4"/>
  </r>
  <r>
    <s v="HOSP-10181"/>
    <s v="Kabir Nair"/>
    <x v="79"/>
    <x v="0"/>
    <x v="2"/>
    <s v="Orthopedics"/>
    <x v="13"/>
    <d v="2025-07-10T00:00:00"/>
    <d v="2025-07-18T00:00:00"/>
    <s v="Osteoarthritis Knee"/>
    <s v="Total Knee Replacement"/>
    <n v="72671.100000000006"/>
    <x v="4"/>
    <x v="3"/>
    <s v="Transferred"/>
    <x v="3"/>
  </r>
  <r>
    <s v="HOSP-10182"/>
    <s v="Priya Nair"/>
    <x v="53"/>
    <x v="1"/>
    <x v="9"/>
    <s v="Orthopedics"/>
    <x v="13"/>
    <d v="2025-08-18T00:00:00"/>
    <d v="2025-08-27T00:00:00"/>
    <s v="Femur Fracture"/>
    <s v="Internal Fixation"/>
    <n v="337302.75"/>
    <x v="1"/>
    <x v="2"/>
    <s v="Admitted"/>
    <x v="4"/>
  </r>
  <r>
    <s v="HOSP-10183"/>
    <s v="Ananya Nair"/>
    <x v="73"/>
    <x v="1"/>
    <x v="4"/>
    <s v="Cardiology"/>
    <x v="8"/>
    <d v="2025-09-25T00:00:00"/>
    <d v="2025-10-06T00:00:00"/>
    <s v="Heart Failure"/>
    <s v="Ace Inhibitors &amp; Diuretics"/>
    <n v="335905.47"/>
    <x v="6"/>
    <x v="1"/>
    <s v="Transferred"/>
    <x v="4"/>
  </r>
  <r>
    <s v="HOSP-10184"/>
    <s v="Rajesh Singh"/>
    <x v="71"/>
    <x v="0"/>
    <x v="3"/>
    <s v="General Medicine"/>
    <x v="2"/>
    <d v="2025-06-24T00:00:00"/>
    <d v="2025-10-27T00:00:00"/>
    <s v="Dengue Fever With Thrombocytopenia"/>
    <s v="Platelet Support"/>
    <n v="340229.7"/>
    <x v="4"/>
    <x v="0"/>
    <s v="Admitted"/>
    <x v="2"/>
  </r>
  <r>
    <s v="HOSP-10185"/>
    <s v="Rohan Verma"/>
    <x v="70"/>
    <x v="0"/>
    <x v="5"/>
    <s v="Orthopedics"/>
    <x v="20"/>
    <d v="2025-05-05T00:00:00"/>
    <d v="2025-11-16T00:00:00"/>
    <s v="Lumbar Spondylosis"/>
    <s v="Spinal Decompression"/>
    <n v="0"/>
    <x v="1"/>
    <x v="3"/>
    <s v="Transferred"/>
    <x v="3"/>
  </r>
  <r>
    <s v="HOSP-10186"/>
    <s v="Ananya Joshi"/>
    <x v="28"/>
    <x v="1"/>
    <x v="3"/>
    <s v="Unknown"/>
    <x v="4"/>
    <d v="2025-03-16T00:00:00"/>
    <d v="2025-03-27T00:00:00"/>
    <s v="Neonatal Jaundice"/>
    <s v="Phototherapy"/>
    <n v="229677.72"/>
    <x v="3"/>
    <x v="3"/>
    <s v="Discharged Against Medical Advice"/>
    <x v="2"/>
  </r>
  <r>
    <s v="HOSP-10187"/>
    <s v="Pooja Joshi"/>
    <x v="56"/>
    <x v="1"/>
    <x v="3"/>
    <s v="Gastroenterology"/>
    <x v="0"/>
    <d v="2025-09-21T00:00:00"/>
    <d v="2025-10-06T00:00:00"/>
    <s v="Gallstones / Cholecystitis"/>
    <s v="Laparoscopic Cholecystectomy"/>
    <n v="337085.85"/>
    <x v="2"/>
    <x v="3"/>
    <s v="Discharged"/>
    <x v="4"/>
  </r>
  <r>
    <s v="HOSP-10188"/>
    <s v="Kabir Bose"/>
    <x v="21"/>
    <x v="0"/>
    <x v="5"/>
    <s v="Pediatrics"/>
    <x v="6"/>
    <d v="2025-08-26T00:00:00"/>
    <d v="2025-09-07T00:00:00"/>
    <s v="Neonatal Jaundice"/>
    <s v="Phototherapy"/>
    <n v="113281.4"/>
    <x v="4"/>
    <x v="4"/>
    <s v="Discharged"/>
    <x v="4"/>
  </r>
  <r>
    <s v="HOSP-10189"/>
    <s v="Anjali Nair"/>
    <x v="80"/>
    <x v="1"/>
    <x v="6"/>
    <s v="Cardiology"/>
    <x v="17"/>
    <d v="2025-02-10T00:00:00"/>
    <d v="2025-02-23T00:00:00"/>
    <s v="Myocardial Infarction"/>
    <s v="Unknown"/>
    <n v="165897.26999999999"/>
    <x v="7"/>
    <x v="3"/>
    <s v="Transferred"/>
    <x v="4"/>
  </r>
  <r>
    <s v="HOSP-10190"/>
    <s v="Sunita Joshi"/>
    <x v="14"/>
    <x v="1"/>
    <x v="5"/>
    <s v="Cardiology"/>
    <x v="11"/>
    <d v="2025-08-20T00:00:00"/>
    <d v="2025-08-31T00:00:00"/>
    <s v="Myocardial Infarction"/>
    <s v="Thrombolysis"/>
    <n v="339408.59"/>
    <x v="1"/>
    <x v="4"/>
    <s v="Discharged"/>
    <x v="0"/>
  </r>
  <r>
    <s v="HOSP-10191"/>
    <s v="Amit Sharma"/>
    <x v="33"/>
    <x v="0"/>
    <x v="5"/>
    <s v="Orthopedics"/>
    <x v="13"/>
    <d v="2025-10-15T00:00:00"/>
    <d v="2025-10-19T00:00:00"/>
    <s v="Unknown"/>
    <s v="Spinal Decompression"/>
    <n v="90858.79"/>
    <x v="3"/>
    <x v="2"/>
    <s v="Discharged"/>
    <x v="2"/>
  </r>
  <r>
    <s v="HOSP-10192"/>
    <s v="Kavita Mehta"/>
    <x v="3"/>
    <x v="1"/>
    <x v="9"/>
    <s v="Neurology"/>
    <x v="3"/>
    <d v="2025-10-12T00:00:00"/>
    <d v="2025-10-12T00:00:00"/>
    <s v="Migraine Chronic"/>
    <s v="Botox Injection &amp; Triptans"/>
    <n v="310615.59999999998"/>
    <x v="5"/>
    <x v="2"/>
    <s v="Discharged"/>
    <x v="3"/>
  </r>
  <r>
    <s v="HOSP-10193"/>
    <s v="Ramesh Singh"/>
    <x v="9"/>
    <x v="0"/>
    <x v="10"/>
    <s v="General Medicine"/>
    <x v="7"/>
    <d v="2025-10-08T00:00:00"/>
    <d v="2025-10-22T00:00:00"/>
    <s v="Type 2 Diabetes Uncontrolled"/>
    <s v="Insulin Titration"/>
    <n v="348616.66"/>
    <x v="0"/>
    <x v="2"/>
    <s v="Discharged"/>
    <x v="0"/>
  </r>
  <r>
    <s v="HOSP-10194"/>
    <s v="Vikram Joshi"/>
    <x v="11"/>
    <x v="0"/>
    <x v="0"/>
    <s v="Orthopedics"/>
    <x v="20"/>
    <d v="2025-01-25T00:00:00"/>
    <d v="2025-01-31T00:00:00"/>
    <s v="Osteoarthritis Knee"/>
    <s v="Total Knee Replacement"/>
    <n v="262925.28000000003"/>
    <x v="2"/>
    <x v="0"/>
    <s v="Transferred"/>
    <x v="0"/>
  </r>
  <r>
    <s v="HOSP-10195"/>
    <s v="Kabir Joshi"/>
    <x v="48"/>
    <x v="0"/>
    <x v="10"/>
    <s v="Orthopedics"/>
    <x v="13"/>
    <d v="2025-12-09T00:00:00"/>
    <d v="2025-12-24T00:00:00"/>
    <s v="Osteoarthritis Knee"/>
    <s v="Total Knee Replacement"/>
    <n v="107724.71"/>
    <x v="7"/>
    <x v="2"/>
    <s v="Transferred"/>
    <x v="2"/>
  </r>
  <r>
    <s v="HOSP-10196"/>
    <s v="Aarav Gupta"/>
    <x v="81"/>
    <x v="0"/>
    <x v="0"/>
    <s v="Neurology"/>
    <x v="15"/>
    <d v="2025-02-12T00:00:00"/>
    <d v="2025-02-13T00:00:00"/>
    <s v="Epilepsy"/>
    <s v="Anticonvulsant Therapy"/>
    <n v="272521.56"/>
    <x v="3"/>
    <x v="0"/>
    <s v="Transferred"/>
    <x v="3"/>
  </r>
  <r>
    <s v="HOSP-10197"/>
    <s v="Ramesh Joshi"/>
    <x v="39"/>
    <x v="0"/>
    <x v="4"/>
    <s v="Unknown"/>
    <x v="7"/>
    <d v="2025-01-02T00:00:00"/>
    <d v="2025-01-13T00:00:00"/>
    <s v="Urinary Tract Infection"/>
    <s v="Unknown"/>
    <n v="88182.91"/>
    <x v="5"/>
    <x v="3"/>
    <s v="Discharged"/>
    <x v="1"/>
  </r>
  <r>
    <s v="HOSP-10198"/>
    <s v="Kabir Nair"/>
    <x v="44"/>
    <x v="3"/>
    <x v="0"/>
    <s v="Oncology"/>
    <x v="1"/>
    <d v="2025-04-26T00:00:00"/>
    <d v="2025-05-09T00:00:00"/>
    <s v="Lung Adenocarcinoma"/>
    <s v="Targeted Therapy"/>
    <n v="184325.88"/>
    <x v="2"/>
    <x v="2"/>
    <s v="Admitted"/>
    <x v="4"/>
  </r>
  <r>
    <s v="HOSP-10199"/>
    <s v="Aarav Patel"/>
    <x v="6"/>
    <x v="0"/>
    <x v="6"/>
    <s v="Gastroenterology"/>
    <x v="16"/>
    <d v="2025-07-22T00:00:00"/>
    <d v="2025-07-29T00:00:00"/>
    <s v="Peptic Ulcer Bleeding"/>
    <s v="Endoscopic Banding"/>
    <n v="88203.79"/>
    <x v="1"/>
    <x v="1"/>
    <s v="Expired"/>
    <x v="3"/>
  </r>
  <r>
    <s v="HOSP-10200"/>
    <s v="Kavita Singh"/>
    <x v="37"/>
    <x v="1"/>
    <x v="6"/>
    <s v="Unknown"/>
    <x v="3"/>
    <d v="2025-07-01T00:00:00"/>
    <d v="2025-07-19T00:00:00"/>
    <s v="Migraine Chronic"/>
    <s v="Botox Injection &amp; Triptans"/>
    <n v="330817.42"/>
    <x v="6"/>
    <x v="0"/>
    <s v="Expired"/>
    <x v="4"/>
  </r>
  <r>
    <s v="HOSP-10201"/>
    <s v="Diya Sharma"/>
    <x v="44"/>
    <x v="1"/>
    <x v="5"/>
    <s v="Orthopedics"/>
    <x v="13"/>
    <d v="2025-11-14T00:00:00"/>
    <d v="2025-11-25T00:00:00"/>
    <s v="Osteoarthritis Knee"/>
    <s v="Total Knee Replacement"/>
    <n v="0"/>
    <x v="6"/>
    <x v="2"/>
    <s v="Discharged Against Medical Advice"/>
    <x v="4"/>
  </r>
  <r>
    <s v="HOSP-10202"/>
    <s v="Suresh Reddy"/>
    <x v="24"/>
    <x v="0"/>
    <x v="8"/>
    <s v="Oncology"/>
    <x v="9"/>
    <d v="2025-06-21T00:00:00"/>
    <d v="2025-06-30T00:00:00"/>
    <s v="Breast Carcinoma"/>
    <s v="Chemotherapy &amp; Lumpectomy"/>
    <n v="197461.9"/>
    <x v="3"/>
    <x v="1"/>
    <s v="Discharged Against Medical Advice"/>
    <x v="4"/>
  </r>
  <r>
    <s v="HOSP-10203"/>
    <s v="Rohan Singh"/>
    <x v="15"/>
    <x v="0"/>
    <x v="2"/>
    <s v="General Medicine"/>
    <x v="7"/>
    <d v="2025-04-30T00:00:00"/>
    <d v="2025-08-09T00:00:00"/>
    <s v="Type 2 Diabetes Uncontrolled"/>
    <s v="Insulin Titration"/>
    <n v="94965.17"/>
    <x v="1"/>
    <x v="2"/>
    <s v="Admitted"/>
    <x v="2"/>
  </r>
  <r>
    <s v="HOSP-10204"/>
    <s v="Kabir Nair"/>
    <x v="14"/>
    <x v="0"/>
    <x v="4"/>
    <s v="Oncology"/>
    <x v="19"/>
    <d v="2025-09-01T00:00:00"/>
    <d v="2025-09-18T00:00:00"/>
    <s v="Lung Adenocarcinoma"/>
    <s v="Targeted Therapy"/>
    <n v="266670.65000000002"/>
    <x v="1"/>
    <x v="3"/>
    <s v="Discharged Against Medical Advice"/>
    <x v="0"/>
  </r>
  <r>
    <s v="HOSP-10205"/>
    <s v="Aarav Reddy"/>
    <x v="12"/>
    <x v="0"/>
    <x v="2"/>
    <s v="General Medicine"/>
    <x v="5"/>
    <d v="2025-06-18T00:00:00"/>
    <d v="2025-11-07T00:00:00"/>
    <s v="Hypertensive Crisis"/>
    <s v="IV Labetalol"/>
    <n v="52142.03"/>
    <x v="0"/>
    <x v="4"/>
    <s v="Admitted"/>
    <x v="0"/>
  </r>
  <r>
    <s v="HOSP-10206"/>
    <s v="Priya Joshi"/>
    <x v="4"/>
    <x v="1"/>
    <x v="9"/>
    <s v="Cardiology"/>
    <x v="17"/>
    <d v="2025-10-01T00:00:00"/>
    <d v="2025-12-02T00:00:00"/>
    <s v="Heart Failure"/>
    <s v="Ace Inhibitors &amp; Diuretics"/>
    <n v="101756.58"/>
    <x v="1"/>
    <x v="3"/>
    <s v="Admitted"/>
    <x v="1"/>
  </r>
  <r>
    <s v="HOSP-10207"/>
    <s v="Unknown"/>
    <x v="57"/>
    <x v="0"/>
    <x v="4"/>
    <s v="Oncology"/>
    <x v="1"/>
    <d v="2025-06-18T00:00:00"/>
    <d v="2025-12-14T00:00:00"/>
    <s v="Breast Carcinoma"/>
    <s v="Chemotherapy &amp; Lumpectomy"/>
    <n v="291401.61"/>
    <x v="0"/>
    <x v="1"/>
    <s v="Admitted"/>
    <x v="3"/>
  </r>
  <r>
    <s v="HOSP-10208"/>
    <s v="Priya Iyer"/>
    <x v="6"/>
    <x v="1"/>
    <x v="7"/>
    <s v="Oncology"/>
    <x v="19"/>
    <d v="2025-12-09T00:00:00"/>
    <d v="2025-12-26T00:00:00"/>
    <s v="Lymphoma"/>
    <s v="R-Chop Regimen"/>
    <n v="41236.160000000003"/>
    <x v="1"/>
    <x v="0"/>
    <s v="Admitted"/>
    <x v="3"/>
  </r>
  <r>
    <s v="HOSP-10209"/>
    <s v="Meera Reddy"/>
    <x v="36"/>
    <x v="1"/>
    <x v="8"/>
    <s v="Pediatrics"/>
    <x v="4"/>
    <d v="2025-09-27T00:00:00"/>
    <d v="2025-10-10T00:00:00"/>
    <s v="Viral Gastroenteritis"/>
    <s v="IV Fluids &amp; Electrolytes"/>
    <n v="224317.54"/>
    <x v="1"/>
    <x v="2"/>
    <s v="Expired"/>
    <x v="3"/>
  </r>
  <r>
    <s v="HOSP-10210"/>
    <s v="Diya Iyer"/>
    <x v="21"/>
    <x v="1"/>
    <x v="2"/>
    <s v="Neurology"/>
    <x v="15"/>
    <d v="2025-07-23T00:00:00"/>
    <d v="2025-08-04T00:00:00"/>
    <s v="Parkinson'S Disease"/>
    <s v="Levodopa Therapy"/>
    <n v="141814.6"/>
    <x v="3"/>
    <x v="4"/>
    <s v="Discharged"/>
    <x v="4"/>
  </r>
  <r>
    <s v="HOSP-10211"/>
    <s v="Anjali Joshi"/>
    <x v="55"/>
    <x v="1"/>
    <x v="6"/>
    <s v="Cardiology"/>
    <x v="17"/>
    <d v="2025-01-18T00:00:00"/>
    <d v="2025-01-25T00:00:00"/>
    <s v="Heart Failure"/>
    <s v="Ace Inhibitors &amp; Diuretics"/>
    <n v="258112.74"/>
    <x v="1"/>
    <x v="3"/>
    <s v="Discharged"/>
    <x v="4"/>
  </r>
  <r>
    <s v="HOSP-10212"/>
    <s v="Ananya Gupta"/>
    <x v="50"/>
    <x v="1"/>
    <x v="2"/>
    <s v="Orthopedics"/>
    <x v="12"/>
    <d v="2025-11-01T00:00:00"/>
    <d v="2025-11-01T00:00:00"/>
    <s v="Rotator Cuff Tear"/>
    <s v="Arthroscopic Repair"/>
    <n v="255614.72"/>
    <x v="3"/>
    <x v="4"/>
    <s v="Admitted"/>
    <x v="2"/>
  </r>
  <r>
    <s v="HOSP-10213"/>
    <s v="Aarav Joshi"/>
    <x v="49"/>
    <x v="3"/>
    <x v="9"/>
    <s v="Pediatrics"/>
    <x v="14"/>
    <d v="2025-10-10T00:00:00"/>
    <d v="2025-10-10T00:00:00"/>
    <s v="Neonatal Jaundice"/>
    <s v="Phototherapy"/>
    <n v="317722.57"/>
    <x v="3"/>
    <x v="2"/>
    <s v="Admitted"/>
    <x v="3"/>
  </r>
  <r>
    <s v="HOSP-10214"/>
    <s v="Amit Bose"/>
    <x v="77"/>
    <x v="0"/>
    <x v="7"/>
    <s v="Neurology"/>
    <x v="15"/>
    <d v="2025-01-11T00:00:00"/>
    <d v="2025-01-15T00:00:00"/>
    <s v="Parkinson'S Disease"/>
    <s v="Levodopa Therapy"/>
    <n v="259754.43"/>
    <x v="5"/>
    <x v="2"/>
    <s v="Discharged Against Medical Advice"/>
    <x v="4"/>
  </r>
  <r>
    <s v="HOSP-10215"/>
    <s v="Unknown"/>
    <x v="82"/>
    <x v="0"/>
    <x v="5"/>
    <s v="Cardiology"/>
    <x v="11"/>
    <d v="2025-04-04T00:00:00"/>
    <d v="2025-04-07T00:00:00"/>
    <s v="Heart Failure"/>
    <s v="Ace Inhibitors &amp; Diuretics"/>
    <n v="43156.46"/>
    <x v="7"/>
    <x v="1"/>
    <s v="Unknown"/>
    <x v="0"/>
  </r>
  <r>
    <s v="HOSP-10216"/>
    <s v="Neha Nair"/>
    <x v="6"/>
    <x v="1"/>
    <x v="0"/>
    <s v="Oncology"/>
    <x v="9"/>
    <d v="2025-04-14T00:00:00"/>
    <d v="2025-07-31T00:00:00"/>
    <s v="Lung Adenocarcinoma"/>
    <s v="Targeted Therapy"/>
    <n v="8472.35"/>
    <x v="0"/>
    <x v="2"/>
    <s v="Admitted"/>
    <x v="3"/>
  </r>
  <r>
    <s v="HOSP-10217"/>
    <s v="Vikram Nair"/>
    <x v="5"/>
    <x v="0"/>
    <x v="4"/>
    <s v="Pediatrics"/>
    <x v="14"/>
    <d v="2025-11-11T00:00:00"/>
    <d v="2025-11-23T00:00:00"/>
    <s v="Severe Pneumonia"/>
    <s v="IV Antibiotics"/>
    <n v="287606.32"/>
    <x v="3"/>
    <x v="4"/>
    <s v="Discharged"/>
    <x v="2"/>
  </r>
  <r>
    <s v="HOSP-10218"/>
    <s v="Ananya Reddy"/>
    <x v="83"/>
    <x v="1"/>
    <x v="2"/>
    <s v="Gastroenterology"/>
    <x v="16"/>
    <d v="2025-06-04T00:00:00"/>
    <d v="2025-12-12T00:00:00"/>
    <s v="Gallstones / Cholecystitis"/>
    <s v="Laparoscopic Cholecystectomy"/>
    <n v="289092.03000000003"/>
    <x v="4"/>
    <x v="4"/>
    <s v="Admitted"/>
    <x v="0"/>
  </r>
  <r>
    <s v="HOSP-10219"/>
    <s v="Ananya Verma"/>
    <x v="31"/>
    <x v="3"/>
    <x v="3"/>
    <s v="Gastroenterology"/>
    <x v="0"/>
    <d v="2025-12-12T00:00:00"/>
    <d v="2025-12-30T00:00:00"/>
    <s v="Liver Cirrhosis"/>
    <s v="Paracentesis &amp; Diuretics"/>
    <n v="33757.449999999997"/>
    <x v="3"/>
    <x v="6"/>
    <s v="Transferred"/>
    <x v="1"/>
  </r>
  <r>
    <s v="HOSP-10220"/>
    <s v="Suresh Joshi"/>
    <x v="26"/>
    <x v="0"/>
    <x v="1"/>
    <s v="Pediatrics"/>
    <x v="14"/>
    <d v="2025-07-13T00:00:00"/>
    <d v="2025-07-25T00:00:00"/>
    <s v="Neonatal Jaundice"/>
    <s v="Phototherapy"/>
    <n v="137604.06"/>
    <x v="4"/>
    <x v="1"/>
    <s v="Discharged Against Medical Advice"/>
    <x v="4"/>
  </r>
  <r>
    <s v="HOSP-10221"/>
    <s v="Rajesh Verma"/>
    <x v="51"/>
    <x v="0"/>
    <x v="4"/>
    <s v="General Medicine"/>
    <x v="2"/>
    <d v="2025-02-05T00:00:00"/>
    <d v="2025-02-15T00:00:00"/>
    <s v="Hypertensive Crisis"/>
    <s v="IV Labetalol"/>
    <n v="48497.57"/>
    <x v="1"/>
    <x v="2"/>
    <s v="Transferred"/>
    <x v="3"/>
  </r>
  <r>
    <s v="HOSP-10222"/>
    <s v="Anita Reddy"/>
    <x v="25"/>
    <x v="1"/>
    <x v="3"/>
    <s v="Orthopedics"/>
    <x v="12"/>
    <d v="2025-03-04T00:00:00"/>
    <d v="2025-03-08T00:00:00"/>
    <s v="Rotator Cuff Tear"/>
    <s v="Arthroscopic Repair"/>
    <n v="270774.19"/>
    <x v="1"/>
    <x v="5"/>
    <s v="Admitted"/>
    <x v="1"/>
  </r>
  <r>
    <s v="HOSP-10223"/>
    <s v="Diya Mehta"/>
    <x v="25"/>
    <x v="1"/>
    <x v="2"/>
    <s v="Orthopedics"/>
    <x v="13"/>
    <d v="2025-03-21T00:00:00"/>
    <d v="2025-03-29T00:00:00"/>
    <s v="Lumbar Spondylosis"/>
    <s v="Spinal Decompression"/>
    <n v="337793.92"/>
    <x v="1"/>
    <x v="1"/>
    <s v="Discharged Against Medical Advice"/>
    <x v="1"/>
  </r>
  <r>
    <s v="HOSP-10224"/>
    <s v="Anjali Reddy"/>
    <x v="47"/>
    <x v="1"/>
    <x v="3"/>
    <s v="General Medicine"/>
    <x v="5"/>
    <d v="2025-12-23T00:00:00"/>
    <d v="2025-12-23T00:00:00"/>
    <s v="Dengue Fever With Thrombocytopenia"/>
    <s v="Platelet Support"/>
    <n v="288515.28999999998"/>
    <x v="2"/>
    <x v="4"/>
    <s v="Admitted"/>
    <x v="2"/>
  </r>
  <r>
    <s v="HOSP-10225"/>
    <s v="Vikram Nair"/>
    <x v="50"/>
    <x v="0"/>
    <x v="9"/>
    <s v="General Medicine"/>
    <x v="2"/>
    <d v="2025-07-13T00:00:00"/>
    <d v="2025-07-22T00:00:00"/>
    <s v="Urinary Tract Infection"/>
    <s v="Antibiotic Course"/>
    <n v="330046.03999999998"/>
    <x v="4"/>
    <x v="1"/>
    <s v="Discharged"/>
    <x v="2"/>
  </r>
  <r>
    <s v="HOSP-10226"/>
    <s v="Meera Joshi"/>
    <x v="43"/>
    <x v="1"/>
    <x v="7"/>
    <s v="General Medicine"/>
    <x v="18"/>
    <d v="2025-04-12T00:00:00"/>
    <d v="2025-04-17T00:00:00"/>
    <s v="Type 2 Diabetes Uncontrolled"/>
    <s v="Insulin Titration"/>
    <n v="64734.19"/>
    <x v="3"/>
    <x v="2"/>
    <s v="Admitted"/>
    <x v="0"/>
  </r>
  <r>
    <s v="HOSP-10227"/>
    <s v="Amit Nair"/>
    <x v="76"/>
    <x v="0"/>
    <x v="4"/>
    <s v="Pediatrics"/>
    <x v="14"/>
    <d v="2025-01-10T00:00:00"/>
    <d v="2025-01-11T00:00:00"/>
    <s v="Unknown"/>
    <s v="IV Antibiotics"/>
    <n v="340459.81"/>
    <x v="2"/>
    <x v="1"/>
    <s v="Discharged"/>
    <x v="4"/>
  </r>
  <r>
    <s v="HOSP-10228"/>
    <s v="Manoj Kumar"/>
    <x v="30"/>
    <x v="0"/>
    <x v="5"/>
    <s v="Oncology"/>
    <x v="1"/>
    <d v="2025-06-10T00:00:00"/>
    <d v="2025-06-10T00:00:00"/>
    <s v="Lung Adenocarcinoma"/>
    <s v="Targeted Therapy"/>
    <n v="82982.5"/>
    <x v="7"/>
    <x v="3"/>
    <s v="Unknown"/>
    <x v="1"/>
  </r>
  <r>
    <s v="HOSP-10229"/>
    <s v="Suresh Joshi"/>
    <x v="49"/>
    <x v="0"/>
    <x v="9"/>
    <s v="General Medicine"/>
    <x v="2"/>
    <d v="2025-05-06T00:00:00"/>
    <d v="2025-05-06T00:00:00"/>
    <s v="Urinary Tract Infection"/>
    <s v="Antibiotic Course"/>
    <n v="192719.37"/>
    <x v="2"/>
    <x v="1"/>
    <s v="Admitted"/>
    <x v="3"/>
  </r>
  <r>
    <s v="HOSP-10230"/>
    <s v="Pooja Patel"/>
    <x v="84"/>
    <x v="3"/>
    <x v="9"/>
    <s v="Neurology"/>
    <x v="3"/>
    <d v="2025-02-05T00:00:00"/>
    <d v="2025-02-19T00:00:00"/>
    <s v="Acute Ischemic Stroke"/>
    <s v="tPA Therapy"/>
    <n v="324747.28000000003"/>
    <x v="4"/>
    <x v="2"/>
    <s v="Transferred"/>
    <x v="1"/>
  </r>
  <r>
    <s v="HOSP-10231"/>
    <s v="Aditya Singh"/>
    <x v="51"/>
    <x v="0"/>
    <x v="4"/>
    <s v="General Medicine"/>
    <x v="7"/>
    <d v="2025-01-02T00:00:00"/>
    <d v="2025-01-03T00:00:00"/>
    <s v="Type 2 Diabetes Uncontrolled"/>
    <s v="Insulin Titration"/>
    <n v="0"/>
    <x v="1"/>
    <x v="4"/>
    <s v="Discharged"/>
    <x v="3"/>
  </r>
  <r>
    <s v="HOSP-10232"/>
    <s v="Ramesh Joshi"/>
    <x v="7"/>
    <x v="0"/>
    <x v="2"/>
    <s v="Pediatrics"/>
    <x v="6"/>
    <d v="2025-05-09T00:00:00"/>
    <d v="2025-05-18T00:00:00"/>
    <s v="Viral Gastroenteritis"/>
    <s v="IV Fluids &amp; Electrolytes"/>
    <n v="44700.19"/>
    <x v="5"/>
    <x v="4"/>
    <s v="Discharged Against Medical Advice"/>
    <x v="4"/>
  </r>
  <r>
    <s v="HOSP-10233"/>
    <s v="Ritu Iyer"/>
    <x v="85"/>
    <x v="1"/>
    <x v="2"/>
    <s v="Neurology"/>
    <x v="3"/>
    <d v="2025-08-13T00:00:00"/>
    <d v="2025-08-13T00:00:00"/>
    <s v="Parkinson'S Disease"/>
    <s v="Levodopa Therapy"/>
    <n v="327792.19"/>
    <x v="6"/>
    <x v="4"/>
    <s v="Discharged Against Medical Advice"/>
    <x v="0"/>
  </r>
  <r>
    <s v="HOSP-10234"/>
    <s v="Anjali Nair"/>
    <x v="6"/>
    <x v="1"/>
    <x v="0"/>
    <s v="Pediatrics"/>
    <x v="4"/>
    <d v="2025-11-17T00:00:00"/>
    <d v="2025-11-17T00:00:00"/>
    <s v="Severe Pneumonia"/>
    <s v="IV Antibiotics"/>
    <n v="192719.37"/>
    <x v="4"/>
    <x v="3"/>
    <s v="Expired"/>
    <x v="3"/>
  </r>
  <r>
    <s v="HOSP-10235"/>
    <s v="Unknown"/>
    <x v="60"/>
    <x v="1"/>
    <x v="7"/>
    <s v="Pediatrics"/>
    <x v="6"/>
    <d v="2025-01-29T00:00:00"/>
    <d v="2025-02-13T00:00:00"/>
    <s v="Acute Bronchiolitis"/>
    <s v="Nebulization &amp; O2 Support"/>
    <n v="339754.62"/>
    <x v="7"/>
    <x v="4"/>
    <s v="Expired"/>
    <x v="4"/>
  </r>
  <r>
    <s v="HOSP-10236"/>
    <s v="Unknown"/>
    <x v="9"/>
    <x v="0"/>
    <x v="6"/>
    <s v="Gastroenterology"/>
    <x v="0"/>
    <d v="2025-10-11T00:00:00"/>
    <d v="2025-10-22T00:00:00"/>
    <s v="Unknown"/>
    <s v="Laparoscopic Cholecystectomy"/>
    <n v="260747.8"/>
    <x v="2"/>
    <x v="2"/>
    <s v="Expired"/>
    <x v="0"/>
  </r>
  <r>
    <s v="HOSP-10237"/>
    <s v="Priya Mehta"/>
    <x v="66"/>
    <x v="1"/>
    <x v="6"/>
    <s v="Unknown"/>
    <x v="5"/>
    <d v="2025-08-26T00:00:00"/>
    <d v="2025-09-08T00:00:00"/>
    <s v="Heart Failure"/>
    <s v="Ace Inhibitors &amp; Diuretics"/>
    <n v="293518.03000000003"/>
    <x v="4"/>
    <x v="1"/>
    <s v="Transferred"/>
    <x v="1"/>
  </r>
  <r>
    <s v="HOSP-10238"/>
    <s v="Unknown"/>
    <x v="86"/>
    <x v="1"/>
    <x v="4"/>
    <s v="Oncology"/>
    <x v="19"/>
    <d v="2025-02-28T00:00:00"/>
    <d v="2025-03-18T00:00:00"/>
    <s v="Lymphoma"/>
    <s v="R-Chop Regimen"/>
    <n v="114030.49"/>
    <x v="3"/>
    <x v="0"/>
    <s v="Discharged Against Medical Advice"/>
    <x v="4"/>
  </r>
  <r>
    <s v="HOSP-10239"/>
    <s v="Amit Kumar"/>
    <x v="12"/>
    <x v="0"/>
    <x v="0"/>
    <s v="Gastroenterology"/>
    <x v="0"/>
    <d v="2025-02-13T00:00:00"/>
    <d v="2025-02-22T00:00:00"/>
    <s v="Liver Cirrhosis"/>
    <s v="Paracentesis &amp; Diuretics"/>
    <n v="66855.98"/>
    <x v="4"/>
    <x v="4"/>
    <s v="Transferred"/>
    <x v="0"/>
  </r>
  <r>
    <s v="HOSP-10240"/>
    <s v="Ananya Nair"/>
    <x v="4"/>
    <x v="1"/>
    <x v="9"/>
    <s v="Orthopedics"/>
    <x v="12"/>
    <d v="2025-08-21T00:00:00"/>
    <d v="2025-08-28T00:00:00"/>
    <s v="Lumbar Spondylosis"/>
    <s v="Spinal Decompression"/>
    <n v="266163.46999999997"/>
    <x v="1"/>
    <x v="2"/>
    <s v="Expired"/>
    <x v="1"/>
  </r>
  <r>
    <s v="HOSP-10241"/>
    <s v="Ramesh Bose"/>
    <x v="11"/>
    <x v="0"/>
    <x v="0"/>
    <s v="Gastroenterology"/>
    <x v="10"/>
    <d v="2025-09-12T00:00:00"/>
    <d v="2025-09-12T00:00:00"/>
    <s v="Gallstones / Cholecystitis"/>
    <s v="Laparoscopic Cholecystectomy"/>
    <n v="306146.28999999998"/>
    <x v="2"/>
    <x v="4"/>
    <s v="Admitted"/>
    <x v="0"/>
  </r>
  <r>
    <s v="HOSP-10242"/>
    <s v="Pooja Gupta"/>
    <x v="18"/>
    <x v="1"/>
    <x v="0"/>
    <s v="Neurology"/>
    <x v="21"/>
    <d v="2025-12-12T00:00:00"/>
    <d v="2025-12-12T00:00:00"/>
    <s v="Migraine Chronic"/>
    <s v="Botox Injection &amp; Triptans"/>
    <n v="165780.85"/>
    <x v="3"/>
    <x v="1"/>
    <s v="Transferred"/>
    <x v="3"/>
  </r>
  <r>
    <s v="HOSP-10243"/>
    <s v="Pooja Gupta"/>
    <x v="67"/>
    <x v="1"/>
    <x v="5"/>
    <s v="Neurology"/>
    <x v="21"/>
    <d v="2025-03-15T00:00:00"/>
    <d v="2025-03-22T00:00:00"/>
    <s v="Parkinson'S Disease"/>
    <s v="Levodopa Therapy"/>
    <n v="293503.23"/>
    <x v="2"/>
    <x v="0"/>
    <s v="Expired"/>
    <x v="3"/>
  </r>
  <r>
    <s v="HOSP-10244"/>
    <s v="Aditya Patel"/>
    <x v="57"/>
    <x v="0"/>
    <x v="10"/>
    <s v="General Medicine"/>
    <x v="2"/>
    <d v="2025-03-12T00:00:00"/>
    <d v="2025-11-04T00:00:00"/>
    <s v="Dengue Fever With Thrombocytopenia"/>
    <s v="Platelet Support"/>
    <n v="28693.03"/>
    <x v="5"/>
    <x v="3"/>
    <s v="Discharged"/>
    <x v="3"/>
  </r>
  <r>
    <s v="HOSP-10245"/>
    <s v="Sneha Kumar"/>
    <x v="22"/>
    <x v="1"/>
    <x v="2"/>
    <s v="Cardiology"/>
    <x v="17"/>
    <d v="2025-03-08T00:00:00"/>
    <d v="2025-03-10T00:00:00"/>
    <s v="Coronary Artery Disease"/>
    <s v="Angioplasty"/>
    <n v="28640.639999999999"/>
    <x v="1"/>
    <x v="1"/>
    <s v="Discharged"/>
    <x v="1"/>
  </r>
  <r>
    <s v="HOSP-10246"/>
    <s v="Unknown"/>
    <x v="14"/>
    <x v="0"/>
    <x v="0"/>
    <s v="Gastroenterology"/>
    <x v="0"/>
    <d v="2025-05-26T00:00:00"/>
    <d v="2025-06-12T00:00:00"/>
    <s v="Liver Cirrhosis"/>
    <s v="Paracentesis &amp; Diuretics"/>
    <n v="234760.29"/>
    <x v="7"/>
    <x v="1"/>
    <s v="Discharged Against Medical Advice"/>
    <x v="0"/>
  </r>
  <r>
    <s v="HOSP-10247"/>
    <s v="Neha Gupta"/>
    <x v="69"/>
    <x v="1"/>
    <x v="6"/>
    <s v="Neurology"/>
    <x v="3"/>
    <d v="2025-05-24T00:00:00"/>
    <d v="2025-05-29T00:00:00"/>
    <s v="Epilepsy"/>
    <s v="Anticonvulsant Therapy"/>
    <n v="106499.26"/>
    <x v="5"/>
    <x v="3"/>
    <s v="Discharged Against Medical Advice"/>
    <x v="4"/>
  </r>
  <r>
    <s v="HOSP-10248"/>
    <s v="Aditya Singh"/>
    <x v="3"/>
    <x v="0"/>
    <x v="7"/>
    <s v="Pediatrics"/>
    <x v="6"/>
    <d v="2025-10-08T00:00:00"/>
    <d v="2025-10-08T00:00:00"/>
    <s v="Severe Pneumonia"/>
    <s v="IV Antibiotics"/>
    <n v="218046.64"/>
    <x v="2"/>
    <x v="0"/>
    <s v="Admitted"/>
    <x v="3"/>
  </r>
  <r>
    <s v="HOSP-10249"/>
    <s v="Aditya Mehta"/>
    <x v="87"/>
    <x v="0"/>
    <x v="8"/>
    <s v="General Medicine"/>
    <x v="2"/>
    <d v="2025-04-20T00:00:00"/>
    <d v="2025-05-08T00:00:00"/>
    <s v="Type 2 Diabetes Uncontrolled"/>
    <s v="Insulin Titration"/>
    <n v="0"/>
    <x v="2"/>
    <x v="2"/>
    <s v="Expired"/>
    <x v="4"/>
  </r>
  <r>
    <s v="HOSP-10250"/>
    <s v="Vihaan Joshi"/>
    <x v="8"/>
    <x v="0"/>
    <x v="9"/>
    <s v="Oncology"/>
    <x v="19"/>
    <d v="2025-02-10T00:00:00"/>
    <d v="2025-02-22T00:00:00"/>
    <s v="Breast Carcinoma"/>
    <s v="Chemotherapy &amp; Lumpectomy"/>
    <n v="213386.28"/>
    <x v="1"/>
    <x v="0"/>
    <s v="Transferred"/>
    <x v="2"/>
  </r>
  <r>
    <s v="HOSP-10251"/>
    <s v="Aarav Reddy"/>
    <x v="63"/>
    <x v="0"/>
    <x v="5"/>
    <s v="Pediatrics"/>
    <x v="4"/>
    <d v="2025-04-25T00:00:00"/>
    <d v="2025-05-07T00:00:00"/>
    <s v="Severe Pneumonia"/>
    <s v="IV Antibiotics"/>
    <n v="155616.21"/>
    <x v="1"/>
    <x v="0"/>
    <s v="Transferred"/>
    <x v="0"/>
  </r>
  <r>
    <s v="HOSP-10252"/>
    <s v="Diya Verma"/>
    <x v="58"/>
    <x v="1"/>
    <x v="8"/>
    <s v="Oncology"/>
    <x v="1"/>
    <d v="2025-02-22T00:00:00"/>
    <d v="2025-03-05T00:00:00"/>
    <s v="Breast Carcinoma"/>
    <s v="Chemotherapy &amp; Lumpectomy"/>
    <n v="114914.67"/>
    <x v="7"/>
    <x v="2"/>
    <s v="Discharged Against Medical Advice"/>
    <x v="4"/>
  </r>
  <r>
    <s v="HOSP-10253"/>
    <s v="Rajesh Mehta"/>
    <x v="48"/>
    <x v="0"/>
    <x v="9"/>
    <s v="Cardiology"/>
    <x v="11"/>
    <d v="2025-09-05T00:00:00"/>
    <d v="2025-09-21T00:00:00"/>
    <s v="Coronary Artery Disease"/>
    <s v="Angioplasty"/>
    <n v="167818.16"/>
    <x v="2"/>
    <x v="4"/>
    <s v="Unknown"/>
    <x v="2"/>
  </r>
  <r>
    <s v="HOSP-10254"/>
    <s v="Vihaan Bose"/>
    <x v="43"/>
    <x v="2"/>
    <x v="8"/>
    <s v="General Medicine"/>
    <x v="18"/>
    <d v="2025-02-02T00:00:00"/>
    <d v="2025-08-10T00:00:00"/>
    <s v="Dengue Fever With Thrombocytopenia"/>
    <s v="Unknown"/>
    <n v="47432.59"/>
    <x v="5"/>
    <x v="1"/>
    <s v="Discharged"/>
    <x v="0"/>
  </r>
  <r>
    <s v="HOSP-10255"/>
    <s v="Priya Joshi"/>
    <x v="34"/>
    <x v="1"/>
    <x v="0"/>
    <s v="Orthopedics"/>
    <x v="20"/>
    <d v="2025-06-11T00:00:00"/>
    <d v="2025-06-28T00:00:00"/>
    <s v="Femur Fracture"/>
    <s v="Internal Fixation"/>
    <n v="344782.51"/>
    <x v="7"/>
    <x v="1"/>
    <s v="Unknown"/>
    <x v="1"/>
  </r>
  <r>
    <s v="HOSP-10256"/>
    <s v="Vihaan Iyer"/>
    <x v="1"/>
    <x v="0"/>
    <x v="2"/>
    <s v="Gastroenterology"/>
    <x v="16"/>
    <d v="2025-07-26T00:00:00"/>
    <d v="2025-07-29T00:00:00"/>
    <s v="Liver Cirrhosis"/>
    <s v="Paracentesis &amp; Diuretics"/>
    <n v="110914.54"/>
    <x v="0"/>
    <x v="1"/>
    <s v="Discharged"/>
    <x v="1"/>
  </r>
  <r>
    <s v="HOSP-10257"/>
    <s v="Vihaan Nair"/>
    <x v="55"/>
    <x v="0"/>
    <x v="4"/>
    <s v="Oncology"/>
    <x v="1"/>
    <d v="2025-04-04T00:00:00"/>
    <d v="2025-04-22T00:00:00"/>
    <s v="Lymphoma"/>
    <s v="R-Chop Regimen"/>
    <n v="235154.38"/>
    <x v="4"/>
    <x v="1"/>
    <s v="Discharged Against Medical Advice"/>
    <x v="4"/>
  </r>
  <r>
    <s v="HOSP-10258"/>
    <s v="Anita Patel"/>
    <x v="43"/>
    <x v="1"/>
    <x v="9"/>
    <s v="Cardiology"/>
    <x v="8"/>
    <d v="2025-04-17T00:00:00"/>
    <d v="2025-04-24T00:00:00"/>
    <s v="Coronary Artery Disease"/>
    <s v="Angioplasty"/>
    <n v="161347.78"/>
    <x v="0"/>
    <x v="1"/>
    <s v="Expired"/>
    <x v="0"/>
  </r>
  <r>
    <s v="HOSP-10259"/>
    <s v="Amit Verma"/>
    <x v="66"/>
    <x v="0"/>
    <x v="0"/>
    <s v="Oncology"/>
    <x v="1"/>
    <d v="2025-01-03T00:00:00"/>
    <d v="2025-01-05T00:00:00"/>
    <s v="Lung Adenocarcinoma"/>
    <s v="Targeted Therapy"/>
    <n v="138047.97"/>
    <x v="3"/>
    <x v="4"/>
    <s v="Discharged"/>
    <x v="1"/>
  </r>
  <r>
    <s v="HOSP-10260"/>
    <s v="Deepak Nair"/>
    <x v="10"/>
    <x v="0"/>
    <x v="0"/>
    <s v="Neurology"/>
    <x v="3"/>
    <d v="2025-07-15T00:00:00"/>
    <d v="2025-07-25T00:00:00"/>
    <s v="Migraine Chronic"/>
    <s v="Botox Injection &amp; Triptans"/>
    <n v="307451.11"/>
    <x v="1"/>
    <x v="2"/>
    <s v="Discharged Against Medical Advice"/>
    <x v="0"/>
  </r>
  <r>
    <s v="HOSP-10261"/>
    <s v="Anita Patel"/>
    <x v="55"/>
    <x v="1"/>
    <x v="0"/>
    <s v="General Medicine"/>
    <x v="7"/>
    <d v="2025-11-17T00:00:00"/>
    <d v="2025-11-30T00:00:00"/>
    <s v="Dengue Fever With Thrombocytopenia"/>
    <s v="Platelet Support"/>
    <n v="34509.769999999997"/>
    <x v="6"/>
    <x v="2"/>
    <s v="Expired"/>
    <x v="4"/>
  </r>
  <r>
    <s v="HOSP-10262"/>
    <s v="Rajesh Reddy"/>
    <x v="32"/>
    <x v="0"/>
    <x v="7"/>
    <s v="Pediatrics"/>
    <x v="14"/>
    <d v="2025-04-11T00:00:00"/>
    <d v="2025-04-18T00:00:00"/>
    <s v="Severe Pneumonia"/>
    <s v="IV Antibiotics"/>
    <n v="335846.84"/>
    <x v="0"/>
    <x v="3"/>
    <s v="Discharged Against Medical Advice"/>
    <x v="0"/>
  </r>
  <r>
    <s v="HOSP-10263"/>
    <s v="Rajesh Joshi"/>
    <x v="27"/>
    <x v="0"/>
    <x v="5"/>
    <s v="Gastroenterology"/>
    <x v="0"/>
    <d v="2025-01-29T00:00:00"/>
    <d v="2025-08-17T00:00:00"/>
    <s v="Liver Cirrhosis"/>
    <s v="Paracentesis &amp; Diuretics"/>
    <n v="221324.78"/>
    <x v="6"/>
    <x v="2"/>
    <s v="Admitted"/>
    <x v="2"/>
  </r>
  <r>
    <s v="HOSP-10264"/>
    <s v="Amit Kumar"/>
    <x v="29"/>
    <x v="0"/>
    <x v="6"/>
    <s v="Neurology"/>
    <x v="3"/>
    <d v="2025-12-16T00:00:00"/>
    <d v="2025-12-16T00:00:00"/>
    <s v="Acute Ischemic Stroke"/>
    <s v="tPA Therapy"/>
    <n v="0"/>
    <x v="1"/>
    <x v="3"/>
    <s v="Admitted"/>
    <x v="4"/>
  </r>
  <r>
    <s v="HOSP-10265"/>
    <s v="Deepak Singh"/>
    <x v="65"/>
    <x v="0"/>
    <x v="12"/>
    <s v="Cardiology"/>
    <x v="11"/>
    <d v="2025-12-05T00:00:00"/>
    <d v="2025-12-16T00:00:00"/>
    <s v="Unknown"/>
    <s v="Angioplasty"/>
    <n v="337690.34"/>
    <x v="1"/>
    <x v="2"/>
    <s v="Discharged"/>
    <x v="2"/>
  </r>
  <r>
    <s v="HOSP-10266"/>
    <s v="Priya Sharma"/>
    <x v="84"/>
    <x v="1"/>
    <x v="8"/>
    <s v="Oncology"/>
    <x v="9"/>
    <d v="2025-12-16T00:00:00"/>
    <d v="2025-12-21T00:00:00"/>
    <s v="Breast Carcinoma"/>
    <s v="Chemotherapy &amp; Lumpectomy"/>
    <n v="81267.360000000001"/>
    <x v="0"/>
    <x v="6"/>
    <s v="Discharged Against Medical Advice"/>
    <x v="1"/>
  </r>
  <r>
    <s v="HOSP-10267"/>
    <s v="Anita Joshi"/>
    <x v="71"/>
    <x v="1"/>
    <x v="2"/>
    <s v="General Medicine"/>
    <x v="18"/>
    <d v="2025-01-11T00:00:00"/>
    <d v="2025-01-13T00:00:00"/>
    <s v="Urinary Tract Infection"/>
    <s v="Antibiotic Course"/>
    <n v="197038.65"/>
    <x v="0"/>
    <x v="2"/>
    <s v="Discharged"/>
    <x v="2"/>
  </r>
  <r>
    <s v="HOSP-10268"/>
    <s v="Vikram Joshi"/>
    <x v="44"/>
    <x v="0"/>
    <x v="0"/>
    <s v="Gastroenterology"/>
    <x v="16"/>
    <d v="2025-01-02T00:00:00"/>
    <d v="2025-02-17T00:00:00"/>
    <s v="Gallstones / Cholecystitis"/>
    <s v="Laparoscopic Cholecystectomy"/>
    <n v="68996.850000000006"/>
    <x v="5"/>
    <x v="2"/>
    <s v="Admitted"/>
    <x v="4"/>
  </r>
  <r>
    <s v="HOSP-10269"/>
    <s v="Ramesh Iyer"/>
    <x v="88"/>
    <x v="0"/>
    <x v="6"/>
    <s v="Orthopedics"/>
    <x v="13"/>
    <d v="2025-03-20T00:00:00"/>
    <d v="2025-03-23T00:00:00"/>
    <s v="Rotator Cuff Tear"/>
    <s v="Arthroscopic Repair"/>
    <n v="53213.08"/>
    <x v="0"/>
    <x v="4"/>
    <s v="Expired"/>
    <x v="0"/>
  </r>
  <r>
    <s v="HOSP-10270"/>
    <s v="Vihaan Gupta"/>
    <x v="67"/>
    <x v="0"/>
    <x v="0"/>
    <s v="Neurology"/>
    <x v="3"/>
    <d v="2025-09-04T00:00:00"/>
    <d v="2025-09-20T00:00:00"/>
    <s v="Parkinson'S Disease"/>
    <s v="Levodopa Therapy"/>
    <n v="280669.32"/>
    <x v="2"/>
    <x v="3"/>
    <s v="Expired"/>
    <x v="3"/>
  </r>
  <r>
    <s v="HOSP-10271"/>
    <s v="Ramesh Sharma"/>
    <x v="43"/>
    <x v="0"/>
    <x v="4"/>
    <s v="Orthopedics"/>
    <x v="12"/>
    <d v="2025-04-04T00:00:00"/>
    <d v="2025-06-15T00:00:00"/>
    <s v="Rotator Cuff Tear"/>
    <s v="Arthroscopic Repair"/>
    <n v="260700.39"/>
    <x v="3"/>
    <x v="0"/>
    <s v="Transferred"/>
    <x v="0"/>
  </r>
  <r>
    <s v="HOSP-10272"/>
    <s v="Manoj Kumar"/>
    <x v="43"/>
    <x v="0"/>
    <x v="10"/>
    <s v="Pediatrics"/>
    <x v="4"/>
    <d v="2025-07-11T00:00:00"/>
    <d v="2025-07-11T00:00:00"/>
    <s v="Unknown"/>
    <s v="IV Antibiotics"/>
    <n v="270122.58"/>
    <x v="3"/>
    <x v="4"/>
    <s v="Expired"/>
    <x v="0"/>
  </r>
  <r>
    <s v="HOSP-10273"/>
    <s v="Vikram Gupta"/>
    <x v="0"/>
    <x v="0"/>
    <x v="4"/>
    <s v="Cardiology"/>
    <x v="17"/>
    <d v="2025-02-24T00:00:00"/>
    <d v="2025-03-10T00:00:00"/>
    <s v="Myocardial Infarction"/>
    <s v="Thrombolysis"/>
    <n v="57284.61"/>
    <x v="4"/>
    <x v="3"/>
    <s v="Discharged"/>
    <x v="0"/>
  </r>
  <r>
    <s v="HOSP-10274"/>
    <s v="Neha Bose"/>
    <x v="87"/>
    <x v="1"/>
    <x v="7"/>
    <s v="Oncology"/>
    <x v="9"/>
    <d v="2025-08-04T00:00:00"/>
    <d v="2025-08-17T00:00:00"/>
    <s v="Colorectal Cancer"/>
    <s v="Colectomy"/>
    <n v="249634.54"/>
    <x v="0"/>
    <x v="1"/>
    <s v="Discharged Against Medical Advice"/>
    <x v="4"/>
  </r>
  <r>
    <s v="HOSP-10275"/>
    <s v="Neha Gupta"/>
    <x v="27"/>
    <x v="1"/>
    <x v="7"/>
    <s v="Gastroenterology"/>
    <x v="10"/>
    <d v="2025-08-13T00:00:00"/>
    <d v="2025-08-21T00:00:00"/>
    <s v="Gallstones / Cholecystitis"/>
    <s v="Laparoscopic Cholecystectomy"/>
    <n v="256236.26"/>
    <x v="2"/>
    <x v="2"/>
    <s v="Transferred"/>
    <x v="2"/>
  </r>
  <r>
    <s v="HOSP-10276"/>
    <s v="Ananya Mehta"/>
    <x v="82"/>
    <x v="1"/>
    <x v="0"/>
    <s v="Gastroenterology"/>
    <x v="5"/>
    <d v="2025-03-16T00:00:00"/>
    <d v="2025-03-25T00:00:00"/>
    <s v="Unknown"/>
    <s v="Laparoscopic Cholecystectomy"/>
    <n v="201132.98"/>
    <x v="7"/>
    <x v="1"/>
    <s v="Expired"/>
    <x v="0"/>
  </r>
  <r>
    <s v="HOSP-10277"/>
    <s v="Kavita Nair"/>
    <x v="58"/>
    <x v="1"/>
    <x v="8"/>
    <s v="Neurology"/>
    <x v="21"/>
    <d v="2025-03-04T00:00:00"/>
    <d v="2025-03-17T00:00:00"/>
    <s v="Epilepsy"/>
    <s v="Anticonvulsant Therapy"/>
    <n v="185996.43"/>
    <x v="4"/>
    <x v="3"/>
    <s v="Discharged Against Medical Advice"/>
    <x v="4"/>
  </r>
  <r>
    <s v="HOSP-10278"/>
    <s v="Kabir Patel"/>
    <x v="85"/>
    <x v="0"/>
    <x v="2"/>
    <s v="Gastroenterology"/>
    <x v="0"/>
    <d v="2025-01-11T00:00:00"/>
    <d v="2025-01-18T00:00:00"/>
    <s v="Liver Cirrhosis"/>
    <s v="Paracentesis &amp; Diuretics"/>
    <n v="215957.52"/>
    <x v="0"/>
    <x v="2"/>
    <s v="Discharged Against Medical Advice"/>
    <x v="0"/>
  </r>
  <r>
    <s v="HOSP-10279"/>
    <s v="Aditya Verma"/>
    <x v="56"/>
    <x v="0"/>
    <x v="7"/>
    <s v="Orthopedics"/>
    <x v="12"/>
    <d v="2025-11-24T00:00:00"/>
    <d v="2025-12-11T00:00:00"/>
    <s v="Osteoarthritis Knee"/>
    <s v="Total Knee Replacement"/>
    <n v="222845.48"/>
    <x v="0"/>
    <x v="4"/>
    <s v="Discharged Against Medical Advice"/>
    <x v="4"/>
  </r>
  <r>
    <s v="HOSP-10280"/>
    <s v="Kabir Nair"/>
    <x v="64"/>
    <x v="0"/>
    <x v="2"/>
    <s v="Gastroenterology"/>
    <x v="10"/>
    <d v="2025-12-11T00:00:00"/>
    <d v="2025-12-24T00:00:00"/>
    <s v="Acute Pancreatitis"/>
    <s v="Conservative Management"/>
    <n v="263822.09000000003"/>
    <x v="4"/>
    <x v="1"/>
    <s v="Transferred"/>
    <x v="1"/>
  </r>
  <r>
    <s v="HOSP-10281"/>
    <s v="Kavita Joshi"/>
    <x v="3"/>
    <x v="1"/>
    <x v="6"/>
    <s v="Gastroenterology"/>
    <x v="10"/>
    <d v="2025-07-07T00:00:00"/>
    <d v="2025-07-09T00:00:00"/>
    <s v="Unknown"/>
    <s v="Laparoscopic Cholecystectomy"/>
    <n v="104636.58"/>
    <x v="4"/>
    <x v="3"/>
    <s v="Discharged"/>
    <x v="3"/>
  </r>
  <r>
    <s v="HOSP-10282"/>
    <s v="Meera Mehta"/>
    <x v="51"/>
    <x v="1"/>
    <x v="1"/>
    <s v="General Medicine"/>
    <x v="7"/>
    <d v="2025-08-20T00:00:00"/>
    <d v="2025-08-24T00:00:00"/>
    <s v="Dengue Fever With Thrombocytopenia"/>
    <s v="Platelet Support"/>
    <n v="28616.080000000002"/>
    <x v="1"/>
    <x v="4"/>
    <s v="Discharged"/>
    <x v="3"/>
  </r>
  <r>
    <s v="HOSP-10283"/>
    <s v="Sunita Joshi"/>
    <x v="25"/>
    <x v="1"/>
    <x v="7"/>
    <s v="General Medicine"/>
    <x v="18"/>
    <d v="2025-10-14T00:00:00"/>
    <d v="2025-10-27T00:00:00"/>
    <s v="Urinary Tract Infection"/>
    <s v="Antibiotic Course"/>
    <n v="213497.15"/>
    <x v="2"/>
    <x v="1"/>
    <s v="Transferred"/>
    <x v="1"/>
  </r>
  <r>
    <s v="HOSP-10284"/>
    <s v="Priya Reddy"/>
    <x v="34"/>
    <x v="2"/>
    <x v="5"/>
    <s v="Neurology"/>
    <x v="3"/>
    <d v="2025-06-01T00:00:00"/>
    <d v="2025-06-11T00:00:00"/>
    <s v="Epilepsy"/>
    <s v="Anticonvulsant Therapy"/>
    <n v="0"/>
    <x v="5"/>
    <x v="4"/>
    <s v="Transferred"/>
    <x v="1"/>
  </r>
  <r>
    <s v="HOSP-10285"/>
    <s v="Unknown"/>
    <x v="6"/>
    <x v="1"/>
    <x v="8"/>
    <s v="Cardiology"/>
    <x v="8"/>
    <d v="2025-05-29T00:00:00"/>
    <d v="2025-06-24T00:00:00"/>
    <s v="Coronary Artery Disease"/>
    <s v="Angioplasty"/>
    <n v="300360.06"/>
    <x v="4"/>
    <x v="0"/>
    <s v="Admitted"/>
    <x v="3"/>
  </r>
  <r>
    <s v="HOSP-10286"/>
    <s v="Priya Mehta"/>
    <x v="8"/>
    <x v="1"/>
    <x v="5"/>
    <s v="Orthopedics"/>
    <x v="20"/>
    <d v="2025-10-18T00:00:00"/>
    <d v="2025-10-18T00:00:00"/>
    <s v="Osteoarthritis Knee"/>
    <s v="Total Knee Replacement"/>
    <n v="125286.57"/>
    <x v="4"/>
    <x v="3"/>
    <s v="Admitted"/>
    <x v="2"/>
  </r>
  <r>
    <s v="HOSP-10287"/>
    <s v="Ramesh Kumar"/>
    <x v="24"/>
    <x v="0"/>
    <x v="4"/>
    <s v="Oncology"/>
    <x v="9"/>
    <d v="2025-06-30T00:00:00"/>
    <d v="2025-07-06T00:00:00"/>
    <s v="Lymphoma"/>
    <s v="R-Chop Regimen"/>
    <n v="192719.37"/>
    <x v="1"/>
    <x v="0"/>
    <s v="Unknown"/>
    <x v="4"/>
  </r>
  <r>
    <s v="HOSP-10288"/>
    <s v="Ritu Verma"/>
    <x v="25"/>
    <x v="1"/>
    <x v="6"/>
    <s v="Unknown"/>
    <x v="1"/>
    <d v="2025-08-03T00:00:00"/>
    <d v="2025-09-17T00:00:00"/>
    <s v="Colorectal Cancer"/>
    <s v="Colectomy"/>
    <n v="192719.37"/>
    <x v="1"/>
    <x v="2"/>
    <s v="Admitted"/>
    <x v="1"/>
  </r>
  <r>
    <s v="HOSP-10289"/>
    <s v="Aarav Kumar"/>
    <x v="64"/>
    <x v="0"/>
    <x v="5"/>
    <s v="Orthopedics"/>
    <x v="20"/>
    <d v="2025-11-22T00:00:00"/>
    <d v="2025-11-28T00:00:00"/>
    <s v="Osteoarthritis Knee"/>
    <s v="Total Knee Replacement"/>
    <n v="150874.89000000001"/>
    <x v="3"/>
    <x v="4"/>
    <s v="Expired"/>
    <x v="1"/>
  </r>
  <r>
    <s v="HOSP-10290"/>
    <s v="Aditya Patel"/>
    <x v="50"/>
    <x v="0"/>
    <x v="5"/>
    <s v="Gastroenterology"/>
    <x v="16"/>
    <d v="2025-07-01T00:00:00"/>
    <d v="2025-07-07T00:00:00"/>
    <s v="Acute Pancreatitis"/>
    <s v="Conservative Management"/>
    <n v="161842.22"/>
    <x v="1"/>
    <x v="4"/>
    <s v="Discharged Against Medical Advice"/>
    <x v="2"/>
  </r>
  <r>
    <s v="HOSP-10291"/>
    <s v="Anjali Iyer"/>
    <x v="64"/>
    <x v="1"/>
    <x v="3"/>
    <s v="Orthopedics"/>
    <x v="13"/>
    <d v="2025-07-04T00:00:00"/>
    <d v="2025-07-04T00:00:00"/>
    <s v="Femur Fracture"/>
    <s v="Internal Fixation"/>
    <n v="0"/>
    <x v="1"/>
    <x v="2"/>
    <s v="Admitted"/>
    <x v="1"/>
  </r>
  <r>
    <s v="HOSP-10292"/>
    <s v="Anita Mehta"/>
    <x v="35"/>
    <x v="1"/>
    <x v="1"/>
    <s v="Oncology"/>
    <x v="19"/>
    <d v="2025-01-11T00:00:00"/>
    <d v="2025-01-21T00:00:00"/>
    <s v="Lymphoma"/>
    <s v="R-Chop Regimen"/>
    <n v="208374.36"/>
    <x v="2"/>
    <x v="1"/>
    <s v="Transferred"/>
    <x v="2"/>
  </r>
  <r>
    <s v="HOSP-10293"/>
    <s v="Suresh Nair"/>
    <x v="29"/>
    <x v="0"/>
    <x v="10"/>
    <s v="Cardiology"/>
    <x v="17"/>
    <d v="2025-03-14T00:00:00"/>
    <d v="2025-04-01T00:00:00"/>
    <s v="Myocardial Infarction"/>
    <s v="Thrombolysis"/>
    <n v="76422.86"/>
    <x v="5"/>
    <x v="2"/>
    <s v="Discharged"/>
    <x v="4"/>
  </r>
  <r>
    <s v="HOSP-10294"/>
    <s v="Deepak Joshi"/>
    <x v="73"/>
    <x v="0"/>
    <x v="10"/>
    <s v="Oncology"/>
    <x v="9"/>
    <d v="2025-08-01T00:00:00"/>
    <d v="2025-08-04T00:00:00"/>
    <s v="Breast Carcinoma"/>
    <s v="Unknown"/>
    <n v="215647.84"/>
    <x v="0"/>
    <x v="1"/>
    <s v="Discharged"/>
    <x v="4"/>
  </r>
  <r>
    <s v="HOSP-10295"/>
    <s v="Ritu Sharma"/>
    <x v="42"/>
    <x v="1"/>
    <x v="7"/>
    <s v="Oncology"/>
    <x v="19"/>
    <d v="2025-01-19T00:00:00"/>
    <d v="2025-02-06T00:00:00"/>
    <s v="Breast Carcinoma"/>
    <s v="Chemotherapy &amp; Lumpectomy"/>
    <n v="239781.71"/>
    <x v="5"/>
    <x v="2"/>
    <s v="Transferred"/>
    <x v="3"/>
  </r>
  <r>
    <s v="HOSP-10296"/>
    <s v="Diya Mehta"/>
    <x v="25"/>
    <x v="1"/>
    <x v="7"/>
    <s v="Orthopedics"/>
    <x v="12"/>
    <d v="2025-01-17T00:00:00"/>
    <d v="2025-01-22T00:00:00"/>
    <s v="Femur Fracture"/>
    <s v="Internal Fixation"/>
    <n v="92369.02"/>
    <x v="1"/>
    <x v="1"/>
    <s v="Discharged Against Medical Advice"/>
    <x v="1"/>
  </r>
  <r>
    <s v="HOSP-10297"/>
    <s v="Diya Mehta"/>
    <x v="17"/>
    <x v="1"/>
    <x v="0"/>
    <s v="Neurology"/>
    <x v="21"/>
    <d v="2025-04-03T00:00:00"/>
    <d v="2025-04-08T00:00:00"/>
    <s v="Parkinson'S Disease"/>
    <s v="Levodopa Therapy"/>
    <n v="273508.17"/>
    <x v="0"/>
    <x v="3"/>
    <s v="Discharged"/>
    <x v="0"/>
  </r>
  <r>
    <s v="HOSP-10298"/>
    <s v="Pooja Verma"/>
    <x v="38"/>
    <x v="1"/>
    <x v="9"/>
    <s v="Pediatrics"/>
    <x v="6"/>
    <d v="2025-05-13T00:00:00"/>
    <d v="2025-05-13T00:00:00"/>
    <s v="Unknown"/>
    <s v="IV Fluids &amp; Electrolytes"/>
    <n v="159154.76999999999"/>
    <x v="7"/>
    <x v="1"/>
    <s v="Admitted"/>
    <x v="0"/>
  </r>
  <r>
    <s v="HOSP-10299"/>
    <s v="Diya Joshi"/>
    <x v="43"/>
    <x v="1"/>
    <x v="6"/>
    <s v="Gastroenterology"/>
    <x v="16"/>
    <d v="2025-06-22T00:00:00"/>
    <d v="2025-06-22T00:00:00"/>
    <s v="Gallstones / Cholecystitis"/>
    <s v="Laparoscopic Cholecystectomy"/>
    <n v="137168.85999999999"/>
    <x v="2"/>
    <x v="1"/>
    <s v="Transferred"/>
    <x v="0"/>
  </r>
  <r>
    <s v="HOSP-10300"/>
    <s v="Pooja Gupta"/>
    <x v="73"/>
    <x v="1"/>
    <x v="9"/>
    <s v="Gastroenterology"/>
    <x v="10"/>
    <d v="2025-01-14T00:00:00"/>
    <d v="2025-01-27T00:00:00"/>
    <s v="Gallstones / Cholecystitis"/>
    <s v="Laparoscopic Cholecystectomy"/>
    <n v="192719.37"/>
    <x v="4"/>
    <x v="1"/>
    <s v="Expired"/>
    <x v="4"/>
  </r>
  <r>
    <s v="HOSP-10301"/>
    <s v="Aarav Gupta"/>
    <x v="6"/>
    <x v="0"/>
    <x v="7"/>
    <s v="General Medicine"/>
    <x v="18"/>
    <d v="2025-02-11T00:00:00"/>
    <d v="2025-02-25T00:00:00"/>
    <s v="Dengue Fever With Thrombocytopenia"/>
    <s v="Platelet Support"/>
    <n v="192719.37"/>
    <x v="4"/>
    <x v="1"/>
    <s v="Transferred"/>
    <x v="3"/>
  </r>
  <r>
    <s v="HOSP-10302"/>
    <s v="Diya Patel"/>
    <x v="72"/>
    <x v="1"/>
    <x v="8"/>
    <s v="Orthopedics"/>
    <x v="13"/>
    <d v="2025-03-28T00:00:00"/>
    <d v="2025-04-03T00:00:00"/>
    <s v="Femur Fracture"/>
    <s v="Internal Fixation"/>
    <n v="330025.55"/>
    <x v="4"/>
    <x v="2"/>
    <s v="Transferred"/>
    <x v="4"/>
  </r>
  <r>
    <s v="HOSP-10303"/>
    <s v="Vikram Gupta"/>
    <x v="66"/>
    <x v="2"/>
    <x v="5"/>
    <s v="Gastroenterology"/>
    <x v="10"/>
    <d v="2025-04-28T00:00:00"/>
    <d v="2025-05-10T00:00:00"/>
    <s v="Gallstones / Cholecystitis"/>
    <s v="Laparoscopic Cholecystectomy"/>
    <n v="276343.26"/>
    <x v="2"/>
    <x v="3"/>
    <s v="Admitted"/>
    <x v="1"/>
  </r>
  <r>
    <s v="HOSP-10304"/>
    <s v="Diya Nair"/>
    <x v="3"/>
    <x v="1"/>
    <x v="6"/>
    <s v="Unknown"/>
    <x v="15"/>
    <d v="2025-05-29T00:00:00"/>
    <d v="2025-06-16T00:00:00"/>
    <s v="Epilepsy"/>
    <s v="Anticonvulsant Therapy"/>
    <n v="121793.68"/>
    <x v="1"/>
    <x v="3"/>
    <s v="Discharged"/>
    <x v="3"/>
  </r>
  <r>
    <s v="HOSP-10305"/>
    <s v="Unknown"/>
    <x v="6"/>
    <x v="0"/>
    <x v="1"/>
    <s v="General Medicine"/>
    <x v="18"/>
    <d v="2025-09-02T00:00:00"/>
    <d v="2025-09-14T00:00:00"/>
    <s v="Urinary Tract Infection"/>
    <s v="Antibiotic Course"/>
    <n v="192719.37"/>
    <x v="7"/>
    <x v="4"/>
    <s v="Transferred"/>
    <x v="3"/>
  </r>
  <r>
    <s v="HOSP-10306"/>
    <s v="Anjali Bose"/>
    <x v="53"/>
    <x v="1"/>
    <x v="9"/>
    <s v="Gastroenterology"/>
    <x v="10"/>
    <d v="2025-06-02T00:00:00"/>
    <d v="2025-06-09T00:00:00"/>
    <s v="Gallstones / Cholecystitis"/>
    <s v="Laparoscopic Cholecystectomy"/>
    <n v="35097.68"/>
    <x v="2"/>
    <x v="1"/>
    <s v="Expired"/>
    <x v="4"/>
  </r>
  <r>
    <s v="HOSP-10307"/>
    <s v="Pooja Gupta"/>
    <x v="79"/>
    <x v="1"/>
    <x v="3"/>
    <s v="General Medicine"/>
    <x v="7"/>
    <d v="2025-05-11T00:00:00"/>
    <d v="2025-05-17T00:00:00"/>
    <s v="Urinary Tract Infection"/>
    <s v="Antibiotic Course"/>
    <n v="138020.31"/>
    <x v="5"/>
    <x v="4"/>
    <s v="Transferred"/>
    <x v="3"/>
  </r>
  <r>
    <s v="HOSP-10308"/>
    <s v="Ananya Iyer"/>
    <x v="67"/>
    <x v="1"/>
    <x v="10"/>
    <s v="Oncology"/>
    <x v="19"/>
    <d v="2025-10-02T00:00:00"/>
    <d v="2025-10-18T00:00:00"/>
    <s v="Lung Adenocarcinoma"/>
    <s v="Targeted Therapy"/>
    <n v="346942.33"/>
    <x v="1"/>
    <x v="4"/>
    <s v="Discharged Against Medical Advice"/>
    <x v="3"/>
  </r>
  <r>
    <s v="HOSP-10309"/>
    <s v="Unknown"/>
    <x v="69"/>
    <x v="0"/>
    <x v="2"/>
    <s v="Cardiology"/>
    <x v="17"/>
    <d v="2025-06-06T00:00:00"/>
    <d v="2025-10-27T00:00:00"/>
    <s v="Arrhythmia"/>
    <s v="Pacemaker Implantation"/>
    <n v="192719.37"/>
    <x v="2"/>
    <x v="1"/>
    <s v="Transferred"/>
    <x v="4"/>
  </r>
  <r>
    <s v="HOSP-10310"/>
    <s v="Aditya Singh"/>
    <x v="62"/>
    <x v="0"/>
    <x v="2"/>
    <s v="Neurology"/>
    <x v="21"/>
    <d v="2025-10-23T00:00:00"/>
    <d v="2025-11-04T00:00:00"/>
    <s v="Acute Ischemic Stroke"/>
    <s v="tPA Therapy"/>
    <n v="0"/>
    <x v="2"/>
    <x v="0"/>
    <s v="Discharged"/>
    <x v="3"/>
  </r>
  <r>
    <s v="HOSP-10311"/>
    <s v="Suresh Bose"/>
    <x v="79"/>
    <x v="0"/>
    <x v="0"/>
    <s v="Pediatrics"/>
    <x v="6"/>
    <d v="2025-01-22T00:00:00"/>
    <d v="2025-02-03T00:00:00"/>
    <s v="Acute Bronchiolitis"/>
    <s v="Nebulization &amp; O2 Support"/>
    <n v="320413.53000000003"/>
    <x v="0"/>
    <x v="3"/>
    <s v="Discharged"/>
    <x v="3"/>
  </r>
  <r>
    <s v="HOSP-10312"/>
    <s v="Pooja Reddy"/>
    <x v="6"/>
    <x v="1"/>
    <x v="10"/>
    <s v="Cardiology"/>
    <x v="11"/>
    <d v="2025-03-03T00:00:00"/>
    <d v="2025-05-28T00:00:00"/>
    <s v="Heart Failure"/>
    <s v="Ace Inhibitors &amp; Diuretics"/>
    <n v="342444.11"/>
    <x v="1"/>
    <x v="2"/>
    <s v="Admitted"/>
    <x v="3"/>
  </r>
  <r>
    <s v="HOSP-10313"/>
    <s v="Anita Joshi"/>
    <x v="54"/>
    <x v="1"/>
    <x v="5"/>
    <s v="Neurology"/>
    <x v="21"/>
    <d v="2025-09-12T00:00:00"/>
    <d v="2025-09-19T00:00:00"/>
    <s v="Migraine Chronic"/>
    <s v="Botox Injection &amp; Triptans"/>
    <n v="320265.67"/>
    <x v="1"/>
    <x v="1"/>
    <s v="Transferred"/>
    <x v="1"/>
  </r>
  <r>
    <s v="HOSP-10314"/>
    <s v="Anita Nair"/>
    <x v="6"/>
    <x v="1"/>
    <x v="0"/>
    <s v="Neurology"/>
    <x v="21"/>
    <d v="2025-08-11T00:00:00"/>
    <d v="2025-08-11T00:00:00"/>
    <s v="Acute Ischemic Stroke"/>
    <s v="tPA Therapy"/>
    <n v="269352.28000000003"/>
    <x v="7"/>
    <x v="1"/>
    <s v="Admitted"/>
    <x v="3"/>
  </r>
  <r>
    <s v="HOSP-10315"/>
    <s v="Rajesh Reddy"/>
    <x v="26"/>
    <x v="0"/>
    <x v="5"/>
    <s v="Oncology"/>
    <x v="1"/>
    <d v="2025-06-10T00:00:00"/>
    <d v="2025-06-28T00:00:00"/>
    <s v="Breast Carcinoma"/>
    <s v="Chemotherapy &amp; Lumpectomy"/>
    <n v="197586.65"/>
    <x v="2"/>
    <x v="4"/>
    <s v="Expired"/>
    <x v="4"/>
  </r>
  <r>
    <s v="HOSP-10316"/>
    <s v="Pooja Verma"/>
    <x v="6"/>
    <x v="1"/>
    <x v="4"/>
    <s v="Gastroenterology"/>
    <x v="5"/>
    <d v="2025-07-02T00:00:00"/>
    <d v="2025-07-05T00:00:00"/>
    <s v="Acute Pancreatitis"/>
    <s v="Conservative Management"/>
    <n v="87118.18"/>
    <x v="5"/>
    <x v="0"/>
    <s v="Discharged Against Medical Advice"/>
    <x v="3"/>
  </r>
  <r>
    <s v="HOSP-10317"/>
    <s v="Pooja Sharma"/>
    <x v="5"/>
    <x v="1"/>
    <x v="8"/>
    <s v="Cardiology"/>
    <x v="8"/>
    <d v="2025-11-08T00:00:00"/>
    <d v="2025-11-14T00:00:00"/>
    <s v="Heart Failure"/>
    <s v="Ace Inhibitors &amp; Diuretics"/>
    <n v="173699.35"/>
    <x v="3"/>
    <x v="0"/>
    <s v="Expired"/>
    <x v="2"/>
  </r>
  <r>
    <s v="HOSP-10318"/>
    <s v="Anjali Gupta"/>
    <x v="77"/>
    <x v="1"/>
    <x v="12"/>
    <s v="Orthopedics"/>
    <x v="12"/>
    <d v="2025-06-12T00:00:00"/>
    <d v="2025-06-15T00:00:00"/>
    <s v="Osteoarthritis Knee"/>
    <s v="Total Knee Replacement"/>
    <n v="183816.01"/>
    <x v="7"/>
    <x v="1"/>
    <s v="Discharged"/>
    <x v="4"/>
  </r>
  <r>
    <s v="HOSP-10319"/>
    <s v="Ananya Iyer"/>
    <x v="78"/>
    <x v="1"/>
    <x v="9"/>
    <s v="Pediatrics"/>
    <x v="4"/>
    <d v="2025-08-12T00:00:00"/>
    <d v="2025-08-21T00:00:00"/>
    <s v="Viral Gastroenteritis"/>
    <s v="IV Fluids &amp; Electrolytes"/>
    <n v="43425.63"/>
    <x v="0"/>
    <x v="1"/>
    <s v="Expired"/>
    <x v="2"/>
  </r>
  <r>
    <s v="HOSP-10320"/>
    <s v="Sneha Gupta"/>
    <x v="57"/>
    <x v="1"/>
    <x v="8"/>
    <s v="General Medicine"/>
    <x v="7"/>
    <d v="2025-11-06T00:00:00"/>
    <d v="2025-11-19T00:00:00"/>
    <s v="Hypertensive Crisis"/>
    <s v="IV Labetalol"/>
    <n v="0"/>
    <x v="5"/>
    <x v="1"/>
    <s v="Transferred"/>
    <x v="3"/>
  </r>
  <r>
    <s v="HOSP-10321"/>
    <s v="Deepak Gupta"/>
    <x v="6"/>
    <x v="0"/>
    <x v="6"/>
    <s v="General Medicine"/>
    <x v="18"/>
    <d v="2025-04-26T00:00:00"/>
    <d v="2025-07-02T00:00:00"/>
    <s v="Dengue Fever With Thrombocytopenia"/>
    <s v="Platelet Support"/>
    <n v="282262.06"/>
    <x v="7"/>
    <x v="0"/>
    <s v="Admitted"/>
    <x v="3"/>
  </r>
  <r>
    <s v="HOSP-10322"/>
    <s v="Aarav Mehta"/>
    <x v="26"/>
    <x v="0"/>
    <x v="4"/>
    <s v="Neurology"/>
    <x v="3"/>
    <d v="2025-02-11T00:00:00"/>
    <d v="2025-02-12T00:00:00"/>
    <s v="Acute Ischemic Stroke"/>
    <s v="tPA Therapy"/>
    <n v="270260.96999999997"/>
    <x v="1"/>
    <x v="5"/>
    <s v="Transferred"/>
    <x v="4"/>
  </r>
  <r>
    <s v="HOSP-10323"/>
    <s v="Sneha Gupta"/>
    <x v="56"/>
    <x v="1"/>
    <x v="6"/>
    <s v="Oncology"/>
    <x v="19"/>
    <d v="2025-01-31T00:00:00"/>
    <d v="2025-02-10T00:00:00"/>
    <s v="Lymphoma"/>
    <s v="R-Chop Regimen"/>
    <n v="292075.46000000002"/>
    <x v="1"/>
    <x v="3"/>
    <s v="Discharged Against Medical Advice"/>
    <x v="4"/>
  </r>
  <r>
    <s v="HOSP-10324"/>
    <s v="Ananya Sharma"/>
    <x v="85"/>
    <x v="1"/>
    <x v="10"/>
    <s v="Pediatrics"/>
    <x v="4"/>
    <d v="2025-09-18T00:00:00"/>
    <d v="2025-09-25T00:00:00"/>
    <s v="Viral Gastroenteritis"/>
    <s v="IV Fluids &amp; Electrolytes"/>
    <n v="329740.81"/>
    <x v="1"/>
    <x v="1"/>
    <s v="Discharged Against Medical Advice"/>
    <x v="0"/>
  </r>
  <r>
    <s v="HOSP-10325"/>
    <s v="Aditya Joshi"/>
    <x v="54"/>
    <x v="0"/>
    <x v="5"/>
    <s v="Cardiology"/>
    <x v="11"/>
    <d v="2025-09-25T00:00:00"/>
    <d v="2025-09-28T00:00:00"/>
    <s v="Coronary Artery Disease"/>
    <s v="Angioplasty"/>
    <n v="272662.94"/>
    <x v="7"/>
    <x v="1"/>
    <s v="Discharged Against Medical Advice"/>
    <x v="1"/>
  </r>
  <r>
    <s v="HOSP-10326"/>
    <s v="Sunita Patel"/>
    <x v="64"/>
    <x v="1"/>
    <x v="5"/>
    <s v="Unknown"/>
    <x v="15"/>
    <d v="2025-01-27T00:00:00"/>
    <d v="2025-02-11T00:00:00"/>
    <s v="Parkinson'S Disease"/>
    <s v="Levodopa Therapy"/>
    <n v="179644.78"/>
    <x v="1"/>
    <x v="5"/>
    <s v="Discharged Against Medical Advice"/>
    <x v="1"/>
  </r>
  <r>
    <s v="HOSP-10327"/>
    <s v="Neha Sharma"/>
    <x v="20"/>
    <x v="1"/>
    <x v="6"/>
    <s v="Oncology"/>
    <x v="1"/>
    <d v="2025-01-23T00:00:00"/>
    <d v="2025-02-05T00:00:00"/>
    <s v="Colorectal Cancer"/>
    <s v="Colectomy"/>
    <n v="73899.320000000007"/>
    <x v="1"/>
    <x v="2"/>
    <s v="Transferred"/>
    <x v="0"/>
  </r>
  <r>
    <s v="HOSP-10328"/>
    <s v="Pooja Kumar"/>
    <x v="78"/>
    <x v="1"/>
    <x v="10"/>
    <s v="Oncology"/>
    <x v="1"/>
    <d v="2025-09-12T00:00:00"/>
    <d v="2025-09-19T00:00:00"/>
    <s v="Lung Adenocarcinoma"/>
    <s v="Targeted Therapy"/>
    <n v="260952.41"/>
    <x v="5"/>
    <x v="4"/>
    <s v="Expired"/>
    <x v="2"/>
  </r>
  <r>
    <s v="HOSP-10329"/>
    <s v="Unknown"/>
    <x v="2"/>
    <x v="0"/>
    <x v="6"/>
    <s v="Orthopedics"/>
    <x v="20"/>
    <d v="2025-09-22T00:00:00"/>
    <d v="2025-10-06T00:00:00"/>
    <s v="Rotator Cuff Tear"/>
    <s v="Arthroscopic Repair"/>
    <n v="207466.81"/>
    <x v="5"/>
    <x v="3"/>
    <s v="Discharged"/>
    <x v="2"/>
  </r>
  <r>
    <s v="HOSP-10330"/>
    <s v="Unknown"/>
    <x v="6"/>
    <x v="0"/>
    <x v="2"/>
    <s v="Orthopedics"/>
    <x v="13"/>
    <d v="2025-05-21T00:00:00"/>
    <d v="2025-08-22T00:00:00"/>
    <s v="Rotator Cuff Tear"/>
    <s v="Arthroscopic Repair"/>
    <n v="95338"/>
    <x v="1"/>
    <x v="0"/>
    <s v="Admitted"/>
    <x v="3"/>
  </r>
  <r>
    <s v="HOSP-10331"/>
    <s v="Ritu Mehta"/>
    <x v="6"/>
    <x v="1"/>
    <x v="2"/>
    <s v="Orthopedics"/>
    <x v="13"/>
    <d v="2025-06-30T00:00:00"/>
    <d v="2025-07-08T00:00:00"/>
    <s v="Unknown"/>
    <s v="Internal Fixation"/>
    <n v="14889.03"/>
    <x v="0"/>
    <x v="0"/>
    <s v="Transferred"/>
    <x v="3"/>
  </r>
  <r>
    <s v="HOSP-10332"/>
    <s v="Ritu Patel"/>
    <x v="0"/>
    <x v="3"/>
    <x v="9"/>
    <s v="Neurology"/>
    <x v="15"/>
    <d v="2025-09-30T00:00:00"/>
    <d v="2025-09-30T00:00:00"/>
    <s v="Migraine Chronic"/>
    <s v="Botox Injection &amp; Triptans"/>
    <n v="349492.38"/>
    <x v="1"/>
    <x v="3"/>
    <s v="Admitted"/>
    <x v="0"/>
  </r>
  <r>
    <s v="HOSP-10333"/>
    <s v="Pooja Bose"/>
    <x v="69"/>
    <x v="1"/>
    <x v="8"/>
    <s v="Oncology"/>
    <x v="9"/>
    <d v="2025-06-16T00:00:00"/>
    <d v="2025-06-16T00:00:00"/>
    <s v="Lung Adenocarcinoma"/>
    <s v="Targeted Therapy"/>
    <n v="243735.89"/>
    <x v="1"/>
    <x v="4"/>
    <s v="Discharged Against Medical Advice"/>
    <x v="4"/>
  </r>
  <r>
    <s v="HOSP-10334"/>
    <s v="Kabir Bose"/>
    <x v="54"/>
    <x v="0"/>
    <x v="4"/>
    <s v="Gastroenterology"/>
    <x v="0"/>
    <d v="2025-03-02T00:00:00"/>
    <d v="2025-03-16T00:00:00"/>
    <s v="Peptic Ulcer Bleeding"/>
    <s v="Endoscopic Banding"/>
    <n v="27887.8"/>
    <x v="1"/>
    <x v="1"/>
    <s v="Discharged Against Medical Advice"/>
    <x v="1"/>
  </r>
  <r>
    <s v="HOSP-10335"/>
    <s v="Ramesh Kumar"/>
    <x v="69"/>
    <x v="0"/>
    <x v="0"/>
    <s v="Orthopedics"/>
    <x v="13"/>
    <d v="2025-12-10T00:00:00"/>
    <d v="2025-12-24T00:00:00"/>
    <s v="Rotator Cuff Tear"/>
    <s v="Arthroscopic Repair"/>
    <n v="207167.51"/>
    <x v="7"/>
    <x v="3"/>
    <s v="Discharged Against Medical Advice"/>
    <x v="4"/>
  </r>
  <r>
    <s v="HOSP-10336"/>
    <s v="Ramesh Joshi"/>
    <x v="13"/>
    <x v="0"/>
    <x v="6"/>
    <s v="Orthopedics"/>
    <x v="13"/>
    <d v="2025-07-06T00:00:00"/>
    <d v="2025-07-08T00:00:00"/>
    <s v="Femur Fracture"/>
    <s v="Internal Fixation"/>
    <n v="160039.89000000001"/>
    <x v="3"/>
    <x v="3"/>
    <s v="Discharged"/>
    <x v="0"/>
  </r>
  <r>
    <s v="HOSP-10337"/>
    <s v="Rajesh Singh"/>
    <x v="53"/>
    <x v="0"/>
    <x v="1"/>
    <s v="Gastroenterology"/>
    <x v="16"/>
    <d v="2025-07-17T00:00:00"/>
    <d v="2025-07-17T00:00:00"/>
    <s v="Liver Cirrhosis"/>
    <s v="Paracentesis &amp; Diuretics"/>
    <n v="333754.68"/>
    <x v="3"/>
    <x v="0"/>
    <s v="Admitted"/>
    <x v="4"/>
  </r>
  <r>
    <s v="HOSP-10338"/>
    <s v="Diya Gupta"/>
    <x v="6"/>
    <x v="1"/>
    <x v="2"/>
    <s v="Orthopedics"/>
    <x v="12"/>
    <d v="2025-11-06T00:00:00"/>
    <d v="2025-11-06T00:00:00"/>
    <s v="Femur Fracture"/>
    <s v="Internal Fixation"/>
    <n v="65658.62"/>
    <x v="0"/>
    <x v="1"/>
    <s v="Admitted"/>
    <x v="3"/>
  </r>
  <r>
    <s v="HOSP-10339"/>
    <s v="Rajesh Kumar"/>
    <x v="36"/>
    <x v="0"/>
    <x v="6"/>
    <s v="Gastroenterology"/>
    <x v="10"/>
    <d v="2025-12-04T00:00:00"/>
    <d v="2025-12-04T00:00:00"/>
    <s v="Liver Cirrhosis"/>
    <s v="Paracentesis &amp; Diuretics"/>
    <n v="100093.93"/>
    <x v="2"/>
    <x v="2"/>
    <s v="Discharged Against Medical Advice"/>
    <x v="3"/>
  </r>
  <r>
    <s v="HOSP-10340"/>
    <s v="Kavita Sharma"/>
    <x v="32"/>
    <x v="1"/>
    <x v="0"/>
    <s v="Cardiology"/>
    <x v="11"/>
    <d v="2025-04-10T00:00:00"/>
    <d v="2025-04-17T00:00:00"/>
    <s v="Heart Failure"/>
    <s v="Ace Inhibitors &amp; Diuretics"/>
    <n v="251416.32000000001"/>
    <x v="4"/>
    <x v="1"/>
    <s v="Expired"/>
    <x v="0"/>
  </r>
  <r>
    <s v="HOSP-10341"/>
    <s v="Pooja Singh"/>
    <x v="74"/>
    <x v="1"/>
    <x v="5"/>
    <s v="General Medicine"/>
    <x v="7"/>
    <d v="2025-06-10T00:00:00"/>
    <d v="2025-06-27T00:00:00"/>
    <s v="Dengue Fever With Thrombocytopenia"/>
    <s v="Platelet Support"/>
    <n v="267165.83"/>
    <x v="1"/>
    <x v="0"/>
    <s v="Discharged"/>
    <x v="2"/>
  </r>
  <r>
    <s v="HOSP-10342"/>
    <s v="Aditya Singh"/>
    <x v="39"/>
    <x v="0"/>
    <x v="0"/>
    <s v="Gastroenterology"/>
    <x v="10"/>
    <d v="2025-09-09T00:00:00"/>
    <d v="2025-09-23T00:00:00"/>
    <s v="Acute Pancreatitis"/>
    <s v="Conservative Management"/>
    <n v="288098.34000000003"/>
    <x v="3"/>
    <x v="4"/>
    <s v="Expired"/>
    <x v="1"/>
  </r>
  <r>
    <s v="HOSP-10343"/>
    <s v="Amit Patel"/>
    <x v="32"/>
    <x v="0"/>
    <x v="13"/>
    <s v="Oncology"/>
    <x v="1"/>
    <d v="2025-07-22T00:00:00"/>
    <d v="2025-07-29T00:00:00"/>
    <s v="Breast Carcinoma"/>
    <s v="Chemotherapy &amp; Lumpectomy"/>
    <n v="154000.01"/>
    <x v="1"/>
    <x v="3"/>
    <s v="Transferred"/>
    <x v="0"/>
  </r>
  <r>
    <s v="HOSP-10344"/>
    <s v="Aditya Joshi"/>
    <x v="77"/>
    <x v="0"/>
    <x v="2"/>
    <s v="Orthopedics"/>
    <x v="13"/>
    <d v="2025-02-16T00:00:00"/>
    <d v="2025-02-22T00:00:00"/>
    <s v="Osteoarthritis Knee"/>
    <s v="Total Knee Replacement"/>
    <n v="28856.82"/>
    <x v="5"/>
    <x v="0"/>
    <s v="Discharged"/>
    <x v="4"/>
  </r>
  <r>
    <s v="HOSP-10345"/>
    <s v="Vikram Sharma"/>
    <x v="48"/>
    <x v="0"/>
    <x v="3"/>
    <s v="Oncology"/>
    <x v="1"/>
    <d v="2025-04-29T00:00:00"/>
    <d v="2025-07-13T00:00:00"/>
    <s v="Breast Carcinoma"/>
    <s v="Chemotherapy &amp; Lumpectomy"/>
    <n v="302163.73"/>
    <x v="7"/>
    <x v="2"/>
    <s v="Admitted"/>
    <x v="2"/>
  </r>
  <r>
    <s v="HOSP-10346"/>
    <s v="Ritu Singh"/>
    <x v="22"/>
    <x v="1"/>
    <x v="5"/>
    <s v="Cardiology"/>
    <x v="8"/>
    <d v="2025-05-13T00:00:00"/>
    <d v="2025-09-21T00:00:00"/>
    <s v="Heart Failure"/>
    <s v="Ace Inhibitors &amp; Diuretics"/>
    <n v="24847.62"/>
    <x v="5"/>
    <x v="2"/>
    <s v="Admitted"/>
    <x v="1"/>
  </r>
  <r>
    <s v="HOSP-10347"/>
    <s v="Kabir Gupta"/>
    <x v="83"/>
    <x v="0"/>
    <x v="5"/>
    <s v="Oncology"/>
    <x v="9"/>
    <d v="2025-11-22T00:00:00"/>
    <d v="2025-11-30T00:00:00"/>
    <s v="Colorectal Cancer"/>
    <s v="Colectomy"/>
    <n v="75690.77"/>
    <x v="5"/>
    <x v="3"/>
    <s v="Transferred"/>
    <x v="0"/>
  </r>
  <r>
    <s v="HOSP-10348"/>
    <s v="Vihaan Gupta"/>
    <x v="6"/>
    <x v="0"/>
    <x v="5"/>
    <s v="Unknown"/>
    <x v="19"/>
    <d v="2025-12-26T00:00:00"/>
    <d v="2026-01-09T00:00:00"/>
    <s v="Colorectal Cancer"/>
    <s v="Colectomy"/>
    <n v="292142.3"/>
    <x v="4"/>
    <x v="3"/>
    <s v="Discharged"/>
    <x v="3"/>
  </r>
  <r>
    <s v="HOSP-10349"/>
    <s v="Manoj Reddy"/>
    <x v="41"/>
    <x v="0"/>
    <x v="1"/>
    <s v="Gastroenterology"/>
    <x v="0"/>
    <d v="2025-11-16T00:00:00"/>
    <d v="2025-11-16T00:00:00"/>
    <s v="Peptic Ulcer Bleeding"/>
    <s v="Endoscopic Banding"/>
    <n v="218516.52"/>
    <x v="4"/>
    <x v="0"/>
    <s v="Admitted"/>
    <x v="1"/>
  </r>
  <r>
    <s v="HOSP-10350"/>
    <s v="Kabir Reddy"/>
    <x v="65"/>
    <x v="0"/>
    <x v="5"/>
    <s v="Neurology"/>
    <x v="3"/>
    <d v="2025-05-08T00:00:00"/>
    <d v="2025-05-22T00:00:00"/>
    <s v="Parkinson'S Disease"/>
    <s v="Levodopa Therapy"/>
    <n v="169398.15"/>
    <x v="2"/>
    <x v="1"/>
    <s v="Expired"/>
    <x v="2"/>
  </r>
  <r>
    <s v="HOSP-10351"/>
    <s v="Sneha Mehta"/>
    <x v="32"/>
    <x v="1"/>
    <x v="6"/>
    <s v="General Medicine"/>
    <x v="2"/>
    <d v="2025-10-04T00:00:00"/>
    <d v="2025-10-04T00:00:00"/>
    <s v="Type 2 Diabetes Uncontrolled"/>
    <s v="Insulin Titration"/>
    <n v="267621"/>
    <x v="7"/>
    <x v="1"/>
    <s v="Admitted"/>
    <x v="0"/>
  </r>
  <r>
    <s v="HOSP-10352"/>
    <s v="Meera Bose"/>
    <x v="68"/>
    <x v="1"/>
    <x v="7"/>
    <s v="Neurology"/>
    <x v="15"/>
    <d v="2025-06-13T00:00:00"/>
    <d v="2025-06-13T00:00:00"/>
    <s v="Epilepsy"/>
    <s v="Anticonvulsant Therapy"/>
    <n v="234451"/>
    <x v="5"/>
    <x v="3"/>
    <s v="Discharged Against Medical Advice"/>
    <x v="1"/>
  </r>
  <r>
    <s v="HOSP-10353"/>
    <s v="Sunita Nair"/>
    <x v="38"/>
    <x v="2"/>
    <x v="10"/>
    <s v="Oncology"/>
    <x v="9"/>
    <d v="2025-04-18T00:00:00"/>
    <d v="2025-04-18T00:00:00"/>
    <s v="Breast Carcinoma"/>
    <s v="Chemotherapy &amp; Lumpectomy"/>
    <n v="65515.33"/>
    <x v="3"/>
    <x v="4"/>
    <s v="Unknown"/>
    <x v="0"/>
  </r>
  <r>
    <s v="HOSP-10354"/>
    <s v="Aarav Gupta"/>
    <x v="54"/>
    <x v="0"/>
    <x v="5"/>
    <s v="Cardiology"/>
    <x v="17"/>
    <d v="2025-02-20T00:00:00"/>
    <d v="2025-02-24T00:00:00"/>
    <s v="Myocardial Infarction"/>
    <s v="Thrombolysis"/>
    <n v="11310.31"/>
    <x v="2"/>
    <x v="4"/>
    <s v="Discharged Against Medical Advice"/>
    <x v="1"/>
  </r>
  <r>
    <s v="HOSP-10355"/>
    <s v="Sunita Joshi"/>
    <x v="27"/>
    <x v="1"/>
    <x v="11"/>
    <s v="General Medicine"/>
    <x v="7"/>
    <d v="2025-06-02T00:00:00"/>
    <d v="2025-06-02T00:00:00"/>
    <s v="Hypertensive Crisis"/>
    <s v="IV Labetalol"/>
    <n v="187210.96"/>
    <x v="4"/>
    <x v="3"/>
    <s v="Discharged"/>
    <x v="2"/>
  </r>
  <r>
    <s v="HOSP-10356"/>
    <s v="Meera Mehta"/>
    <x v="69"/>
    <x v="1"/>
    <x v="2"/>
    <s v="General Medicine"/>
    <x v="7"/>
    <d v="2025-09-12T00:00:00"/>
    <d v="2025-09-13T00:00:00"/>
    <s v="Hypertensive Crisis"/>
    <s v="IV Labetalol"/>
    <n v="70627.63"/>
    <x v="0"/>
    <x v="3"/>
    <s v="Transferred"/>
    <x v="4"/>
  </r>
  <r>
    <s v="HOSP-10357"/>
    <s v="Meera Patel"/>
    <x v="24"/>
    <x v="1"/>
    <x v="7"/>
    <s v="Cardiology"/>
    <x v="11"/>
    <d v="2025-08-18T00:00:00"/>
    <d v="2025-08-26T00:00:00"/>
    <s v="Heart Failure"/>
    <s v="Ace Inhibitors &amp; Diuretics"/>
    <n v="219686.66"/>
    <x v="4"/>
    <x v="1"/>
    <s v="Transferred"/>
    <x v="4"/>
  </r>
  <r>
    <s v="HOSP-10358"/>
    <s v="Diya Patel"/>
    <x v="44"/>
    <x v="1"/>
    <x v="3"/>
    <s v="Orthopedics"/>
    <x v="12"/>
    <d v="2025-08-26T00:00:00"/>
    <d v="2025-08-29T00:00:00"/>
    <s v="Lumbar Spondylosis"/>
    <s v="Spinal Decompression"/>
    <n v="0"/>
    <x v="7"/>
    <x v="4"/>
    <s v="Admitted"/>
    <x v="4"/>
  </r>
  <r>
    <s v="HOSP-10359"/>
    <s v="Suresh Reddy"/>
    <x v="6"/>
    <x v="2"/>
    <x v="1"/>
    <s v="Neurology"/>
    <x v="21"/>
    <d v="2025-08-24T00:00:00"/>
    <d v="2025-08-31T00:00:00"/>
    <s v="Unknown"/>
    <s v="Unknown"/>
    <n v="213585.33"/>
    <x v="4"/>
    <x v="1"/>
    <s v="Discharged Against Medical Advice"/>
    <x v="3"/>
  </r>
  <r>
    <s v="HOSP-10360"/>
    <s v="Rohan Singh"/>
    <x v="79"/>
    <x v="0"/>
    <x v="2"/>
    <s v="Oncology"/>
    <x v="1"/>
    <d v="2025-06-28T00:00:00"/>
    <d v="2025-07-12T00:00:00"/>
    <s v="Lymphoma"/>
    <s v="R-Chop Regimen"/>
    <n v="239670.57"/>
    <x v="3"/>
    <x v="4"/>
    <s v="Transferred"/>
    <x v="3"/>
  </r>
  <r>
    <s v="HOSP-10361"/>
    <s v="Vihaan Verma"/>
    <x v="67"/>
    <x v="0"/>
    <x v="9"/>
    <s v="Oncology"/>
    <x v="19"/>
    <d v="2025-06-27T00:00:00"/>
    <d v="2025-06-27T00:00:00"/>
    <s v="Colorectal Cancer"/>
    <s v="Colectomy"/>
    <n v="328188.99"/>
    <x v="0"/>
    <x v="1"/>
    <s v="Admitted"/>
    <x v="3"/>
  </r>
  <r>
    <s v="HOSP-10362"/>
    <s v="Ramesh Iyer"/>
    <x v="48"/>
    <x v="0"/>
    <x v="5"/>
    <s v="Cardiology"/>
    <x v="11"/>
    <d v="2025-05-29T00:00:00"/>
    <d v="2025-06-20T00:00:00"/>
    <s v="Myocardial Infarction"/>
    <s v="Thrombolysis"/>
    <n v="176910.39"/>
    <x v="0"/>
    <x v="0"/>
    <s v="Admitted"/>
    <x v="2"/>
  </r>
  <r>
    <s v="HOSP-10363"/>
    <s v="Amit Mehta"/>
    <x v="65"/>
    <x v="0"/>
    <x v="3"/>
    <s v="Neurology"/>
    <x v="3"/>
    <d v="2025-06-23T00:00:00"/>
    <d v="2025-06-23T00:00:00"/>
    <s v="Parkinson'S Disease"/>
    <s v="Levodopa Therapy"/>
    <n v="142933.82"/>
    <x v="3"/>
    <x v="2"/>
    <s v="Admitted"/>
    <x v="2"/>
  </r>
  <r>
    <s v="HOSP-10364"/>
    <s v="Meera Patel"/>
    <x v="21"/>
    <x v="1"/>
    <x v="10"/>
    <s v="Pediatrics"/>
    <x v="6"/>
    <d v="2025-06-09T00:00:00"/>
    <d v="2025-06-12T00:00:00"/>
    <s v="Neonatal Jaundice"/>
    <s v="Phototherapy"/>
    <n v="0"/>
    <x v="1"/>
    <x v="0"/>
    <s v="Discharged Against Medical Advice"/>
    <x v="4"/>
  </r>
  <r>
    <s v="HOSP-10365"/>
    <s v="Rajesh Gupta"/>
    <x v="80"/>
    <x v="0"/>
    <x v="10"/>
    <s v="Neurology"/>
    <x v="3"/>
    <d v="2025-10-24T00:00:00"/>
    <d v="2025-10-26T00:00:00"/>
    <s v="Epilepsy"/>
    <s v="Anticonvulsant Therapy"/>
    <n v="149246.6"/>
    <x v="7"/>
    <x v="0"/>
    <s v="Transferred"/>
    <x v="4"/>
  </r>
  <r>
    <s v="HOSP-10366"/>
    <s v="Kavita Patel"/>
    <x v="68"/>
    <x v="1"/>
    <x v="4"/>
    <s v="Gastroenterology"/>
    <x v="10"/>
    <d v="2025-06-16T00:00:00"/>
    <d v="2025-07-01T00:00:00"/>
    <s v="Unknown"/>
    <s v="Laparoscopic Cholecystectomy"/>
    <n v="166270.85999999999"/>
    <x v="5"/>
    <x v="1"/>
    <s v="Transferred"/>
    <x v="1"/>
  </r>
  <r>
    <s v="HOSP-10367"/>
    <s v="Vikram Joshi"/>
    <x v="5"/>
    <x v="0"/>
    <x v="6"/>
    <s v="Gastroenterology"/>
    <x v="0"/>
    <d v="2025-08-22T00:00:00"/>
    <d v="2025-08-25T00:00:00"/>
    <s v="Liver Cirrhosis"/>
    <s v="Paracentesis &amp; Diuretics"/>
    <n v="255209.04"/>
    <x v="3"/>
    <x v="4"/>
    <s v="Expired"/>
    <x v="2"/>
  </r>
  <r>
    <s v="HOSP-10368"/>
    <s v="Priya Verma"/>
    <x v="19"/>
    <x v="1"/>
    <x v="8"/>
    <s v="Cardiology"/>
    <x v="17"/>
    <d v="2025-07-29T00:00:00"/>
    <d v="2025-07-29T00:00:00"/>
    <s v="Myocardial Infarction"/>
    <s v="Thrombolysis"/>
    <n v="176620.05"/>
    <x v="2"/>
    <x v="4"/>
    <s v="Discharged"/>
    <x v="2"/>
  </r>
  <r>
    <s v="HOSP-10369"/>
    <s v="Kabir Patel"/>
    <x v="52"/>
    <x v="0"/>
    <x v="6"/>
    <s v="Neurology"/>
    <x v="21"/>
    <d v="2025-07-04T00:00:00"/>
    <d v="2025-07-04T00:00:00"/>
    <s v="Parkinson'S Disease"/>
    <s v="Levodopa Therapy"/>
    <n v="100750.51"/>
    <x v="3"/>
    <x v="0"/>
    <s v="Admitted"/>
    <x v="1"/>
  </r>
  <r>
    <s v="HOSP-10370"/>
    <s v="Aarav Verma"/>
    <x v="35"/>
    <x v="0"/>
    <x v="5"/>
    <s v="Pediatrics"/>
    <x v="6"/>
    <d v="2025-09-20T00:00:00"/>
    <d v="2025-09-26T00:00:00"/>
    <s v="Severe Pneumonia"/>
    <s v="IV Antibiotics"/>
    <n v="168972.32"/>
    <x v="7"/>
    <x v="1"/>
    <s v="Expired"/>
    <x v="2"/>
  </r>
  <r>
    <s v="HOSP-10371"/>
    <s v="Sneha Iyer"/>
    <x v="70"/>
    <x v="1"/>
    <x v="5"/>
    <s v="Gastroenterology"/>
    <x v="10"/>
    <d v="2025-01-24T00:00:00"/>
    <d v="2025-02-04T00:00:00"/>
    <s v="Acute Pancreatitis"/>
    <s v="Conservative Management"/>
    <n v="153334.01999999999"/>
    <x v="4"/>
    <x v="1"/>
    <s v="Discharged Against Medical Advice"/>
    <x v="3"/>
  </r>
  <r>
    <s v="HOSP-10372"/>
    <s v="Anjali Gupta"/>
    <x v="75"/>
    <x v="1"/>
    <x v="0"/>
    <s v="Orthopedics"/>
    <x v="20"/>
    <d v="2025-02-14T00:00:00"/>
    <d v="2025-02-16T00:00:00"/>
    <s v="Rotator Cuff Tear"/>
    <s v="Arthroscopic Repair"/>
    <n v="0"/>
    <x v="6"/>
    <x v="2"/>
    <s v="Discharged"/>
    <x v="4"/>
  </r>
  <r>
    <s v="HOSP-10373"/>
    <s v="Diya Gupta"/>
    <x v="8"/>
    <x v="1"/>
    <x v="3"/>
    <s v="General Medicine"/>
    <x v="18"/>
    <d v="2025-06-14T00:00:00"/>
    <d v="2025-06-20T00:00:00"/>
    <s v="Hypertensive Crisis"/>
    <s v="IV Labetalol"/>
    <n v="273053.57"/>
    <x v="4"/>
    <x v="3"/>
    <s v="Expired"/>
    <x v="2"/>
  </r>
  <r>
    <s v="HOSP-10374"/>
    <s v="Deepak Kumar"/>
    <x v="58"/>
    <x v="0"/>
    <x v="1"/>
    <s v="Neurology"/>
    <x v="15"/>
    <d v="2025-05-22T00:00:00"/>
    <d v="2025-06-06T00:00:00"/>
    <s v="Epilepsy"/>
    <s v="Anticonvulsant Therapy"/>
    <n v="42562.48"/>
    <x v="7"/>
    <x v="3"/>
    <s v="Transferred"/>
    <x v="4"/>
  </r>
  <r>
    <s v="HOSP-10375"/>
    <s v="Suresh Verma"/>
    <x v="6"/>
    <x v="0"/>
    <x v="2"/>
    <s v="Cardiology"/>
    <x v="11"/>
    <d v="2025-01-02T00:00:00"/>
    <d v="2025-01-20T00:00:00"/>
    <s v="Myocardial Infarction"/>
    <s v="Thrombolysis"/>
    <n v="273509.90999999997"/>
    <x v="1"/>
    <x v="2"/>
    <s v="Transferred"/>
    <x v="3"/>
  </r>
  <r>
    <s v="HOSP-10376"/>
    <s v="Neha Patel"/>
    <x v="58"/>
    <x v="1"/>
    <x v="1"/>
    <s v="Unknown"/>
    <x v="8"/>
    <d v="2025-08-28T00:00:00"/>
    <d v="2025-09-08T00:00:00"/>
    <s v="Arrhythmia"/>
    <s v="Pacemaker Implantation"/>
    <n v="202091.6"/>
    <x v="3"/>
    <x v="5"/>
    <s v="Discharged Against Medical Advice"/>
    <x v="4"/>
  </r>
  <r>
    <s v="HOSP-10377"/>
    <s v="Kabir Joshi"/>
    <x v="56"/>
    <x v="0"/>
    <x v="4"/>
    <s v="Cardiology"/>
    <x v="8"/>
    <d v="2025-07-06T00:00:00"/>
    <d v="2025-07-24T00:00:00"/>
    <s v="Myocardial Infarction"/>
    <s v="Thrombolysis"/>
    <n v="15445.5"/>
    <x v="1"/>
    <x v="0"/>
    <s v="Admitted"/>
    <x v="4"/>
  </r>
  <r>
    <s v="HOSP-10378"/>
    <s v="Priya Singh"/>
    <x v="18"/>
    <x v="1"/>
    <x v="10"/>
    <s v="Neurology"/>
    <x v="3"/>
    <d v="2025-01-16T00:00:00"/>
    <d v="2025-07-01T00:00:00"/>
    <s v="Parkinson'S Disease"/>
    <s v="Levodopa Therapy"/>
    <n v="229227.12"/>
    <x v="5"/>
    <x v="4"/>
    <s v="Admitted"/>
    <x v="3"/>
  </r>
  <r>
    <s v="HOSP-10379"/>
    <s v="Aditya Mehta"/>
    <x v="34"/>
    <x v="0"/>
    <x v="10"/>
    <s v="Orthopedics"/>
    <x v="20"/>
    <d v="2025-05-26T00:00:00"/>
    <d v="2025-06-08T00:00:00"/>
    <s v="Lumbar Spondylosis"/>
    <s v="Spinal Decompression"/>
    <n v="92715.25"/>
    <x v="5"/>
    <x v="0"/>
    <s v="Transferred"/>
    <x v="1"/>
  </r>
  <r>
    <s v="HOSP-10380"/>
    <s v="Aditya Patel"/>
    <x v="6"/>
    <x v="0"/>
    <x v="5"/>
    <s v="Unknown"/>
    <x v="19"/>
    <d v="2025-01-26T00:00:00"/>
    <d v="2025-02-10T00:00:00"/>
    <s v="Lung Adenocarcinoma"/>
    <s v="Targeted Therapy"/>
    <n v="39164.58"/>
    <x v="0"/>
    <x v="2"/>
    <s v="Transferred"/>
    <x v="3"/>
  </r>
  <r>
    <s v="HOSP-10381"/>
    <s v="Priya Joshi"/>
    <x v="44"/>
    <x v="1"/>
    <x v="2"/>
    <s v="Cardiology"/>
    <x v="17"/>
    <d v="2025-06-10T00:00:00"/>
    <d v="2025-06-24T00:00:00"/>
    <s v="Coronary Artery Disease"/>
    <s v="Angioplasty"/>
    <n v="256933.8"/>
    <x v="0"/>
    <x v="2"/>
    <s v="Discharged"/>
    <x v="4"/>
  </r>
  <r>
    <s v="HOSP-10382"/>
    <s v="Diya Sharma"/>
    <x v="6"/>
    <x v="1"/>
    <x v="8"/>
    <s v="Orthopedics"/>
    <x v="13"/>
    <d v="2025-07-18T00:00:00"/>
    <d v="2025-08-05T00:00:00"/>
    <s v="Femur Fracture"/>
    <s v="Internal Fixation"/>
    <n v="236941.7"/>
    <x v="7"/>
    <x v="2"/>
    <s v="Transferred"/>
    <x v="3"/>
  </r>
  <r>
    <s v="HOSP-10383"/>
    <s v="Aarav Mehta"/>
    <x v="6"/>
    <x v="0"/>
    <x v="10"/>
    <s v="Oncology"/>
    <x v="9"/>
    <d v="2025-08-05T00:00:00"/>
    <d v="2025-08-14T00:00:00"/>
    <s v="Lung Adenocarcinoma"/>
    <s v="Targeted Therapy"/>
    <n v="192793.17"/>
    <x v="1"/>
    <x v="2"/>
    <s v="Discharged Against Medical Advice"/>
    <x v="3"/>
  </r>
  <r>
    <s v="HOSP-10384"/>
    <s v="Sneha Patel"/>
    <x v="86"/>
    <x v="1"/>
    <x v="5"/>
    <s v="Pediatrics"/>
    <x v="6"/>
    <d v="2025-08-29T00:00:00"/>
    <d v="2025-08-29T00:00:00"/>
    <s v="Acute Bronchiolitis"/>
    <s v="Nebulization &amp; O2 Support"/>
    <n v="266992.5"/>
    <x v="4"/>
    <x v="3"/>
    <s v="Discharged Against Medical Advice"/>
    <x v="4"/>
  </r>
  <r>
    <s v="HOSP-10385"/>
    <s v="Ritu Reddy"/>
    <x v="45"/>
    <x v="1"/>
    <x v="10"/>
    <s v="Orthopedics"/>
    <x v="20"/>
    <d v="2025-05-10T00:00:00"/>
    <d v="2025-05-25T00:00:00"/>
    <s v="Femur Fracture"/>
    <s v="Internal Fixation"/>
    <n v="210266.08"/>
    <x v="2"/>
    <x v="3"/>
    <s v="Discharged"/>
    <x v="4"/>
  </r>
  <r>
    <s v="HOSP-10386"/>
    <s v="Aditya Reddy"/>
    <x v="34"/>
    <x v="0"/>
    <x v="10"/>
    <s v="Pediatrics"/>
    <x v="5"/>
    <d v="2025-11-17T00:00:00"/>
    <d v="2025-11-24T00:00:00"/>
    <s v="Severe Pneumonia"/>
    <s v="IV Antibiotics"/>
    <n v="45237.98"/>
    <x v="3"/>
    <x v="3"/>
    <s v="Discharged Against Medical Advice"/>
    <x v="1"/>
  </r>
  <r>
    <s v="HOSP-10387"/>
    <s v="Suresh Patel"/>
    <x v="34"/>
    <x v="0"/>
    <x v="4"/>
    <s v="General Medicine"/>
    <x v="18"/>
    <d v="2025-12-26T00:00:00"/>
    <d v="2026-01-12T00:00:00"/>
    <s v="Hypertensive Crisis"/>
    <s v="IV Labetalol"/>
    <n v="286366.02"/>
    <x v="2"/>
    <x v="3"/>
    <s v="Discharged Against Medical Advice"/>
    <x v="1"/>
  </r>
  <r>
    <s v="HOSP-10388"/>
    <s v="Kavita Verma"/>
    <x v="67"/>
    <x v="1"/>
    <x v="2"/>
    <s v="Gastroenterology"/>
    <x v="10"/>
    <d v="2025-11-02T00:00:00"/>
    <d v="2025-11-16T00:00:00"/>
    <s v="Peptic Ulcer Bleeding"/>
    <s v="Unknown"/>
    <n v="321069.3"/>
    <x v="6"/>
    <x v="4"/>
    <s v="Unknown"/>
    <x v="3"/>
  </r>
  <r>
    <s v="HOSP-10389"/>
    <s v="Sunita Nair"/>
    <x v="2"/>
    <x v="1"/>
    <x v="6"/>
    <s v="Neurology"/>
    <x v="15"/>
    <d v="2025-09-26T00:00:00"/>
    <d v="2025-11-15T00:00:00"/>
    <s v="Epilepsy"/>
    <s v="Anticonvulsant Therapy"/>
    <n v="284124.01"/>
    <x v="4"/>
    <x v="2"/>
    <s v="Admitted"/>
    <x v="2"/>
  </r>
  <r>
    <s v="HOSP-10390"/>
    <s v="Deepak Iyer"/>
    <x v="63"/>
    <x v="0"/>
    <x v="10"/>
    <s v="Cardiology"/>
    <x v="17"/>
    <d v="2025-11-03T00:00:00"/>
    <d v="2025-11-13T00:00:00"/>
    <s v="Coronary Artery Disease"/>
    <s v="Angioplasty"/>
    <n v="205456.56"/>
    <x v="5"/>
    <x v="1"/>
    <s v="Discharged Against Medical Advice"/>
    <x v="0"/>
  </r>
  <r>
    <s v="HOSP-10391"/>
    <s v="Diya Verma"/>
    <x v="71"/>
    <x v="1"/>
    <x v="0"/>
    <s v="General Medicine"/>
    <x v="2"/>
    <d v="2025-01-24T00:00:00"/>
    <d v="2025-02-02T00:00:00"/>
    <s v="Hypertensive Crisis"/>
    <s v="IV Labetalol"/>
    <n v="220121.52"/>
    <x v="3"/>
    <x v="2"/>
    <s v="Discharged Against Medical Advice"/>
    <x v="2"/>
  </r>
  <r>
    <s v="HOSP-10392"/>
    <s v="Meera Nair"/>
    <x v="29"/>
    <x v="1"/>
    <x v="9"/>
    <s v="Gastroenterology"/>
    <x v="10"/>
    <d v="2025-01-18T00:00:00"/>
    <d v="2025-02-05T00:00:00"/>
    <s v="Peptic Ulcer Bleeding"/>
    <s v="Endoscopic Banding"/>
    <n v="45668.1"/>
    <x v="6"/>
    <x v="2"/>
    <s v="Expired"/>
    <x v="4"/>
  </r>
  <r>
    <s v="HOSP-10393"/>
    <s v="Aarav Verma"/>
    <x v="27"/>
    <x v="0"/>
    <x v="0"/>
    <s v="General Medicine"/>
    <x v="2"/>
    <d v="2025-01-12T00:00:00"/>
    <d v="2025-01-26T00:00:00"/>
    <s v="Dengue Fever With Thrombocytopenia"/>
    <s v="Platelet Support"/>
    <n v="274018.15999999997"/>
    <x v="0"/>
    <x v="3"/>
    <s v="Discharged Against Medical Advice"/>
    <x v="2"/>
  </r>
  <r>
    <s v="HOSP-10394"/>
    <s v="Ritu Kumar"/>
    <x v="54"/>
    <x v="1"/>
    <x v="7"/>
    <s v="Cardiology"/>
    <x v="8"/>
    <d v="2025-02-15T00:00:00"/>
    <d v="2025-02-17T00:00:00"/>
    <s v="Myocardial Infarction"/>
    <s v="Thrombolysis"/>
    <n v="258752.78"/>
    <x v="1"/>
    <x v="1"/>
    <s v="Expired"/>
    <x v="1"/>
  </r>
  <r>
    <s v="HOSP-10395"/>
    <s v="Ramesh Singh"/>
    <x v="39"/>
    <x v="0"/>
    <x v="5"/>
    <s v="Pediatrics"/>
    <x v="14"/>
    <d v="2025-11-27T00:00:00"/>
    <d v="2025-11-27T00:00:00"/>
    <s v="Acute Bronchiolitis"/>
    <s v="Nebulization &amp; O2 Support"/>
    <n v="331071.07"/>
    <x v="5"/>
    <x v="4"/>
    <s v="Unknown"/>
    <x v="1"/>
  </r>
  <r>
    <s v="HOSP-10396"/>
    <s v="Diya Patel"/>
    <x v="16"/>
    <x v="1"/>
    <x v="7"/>
    <s v="Cardiology"/>
    <x v="17"/>
    <d v="2025-08-18T00:00:00"/>
    <d v="2025-08-19T00:00:00"/>
    <s v="Heart Failure"/>
    <s v="Ace Inhibitors &amp; Diuretics"/>
    <n v="98132.13"/>
    <x v="7"/>
    <x v="0"/>
    <s v="Discharged"/>
    <x v="4"/>
  </r>
  <r>
    <s v="HOSP-10397"/>
    <s v="Sunita Verma"/>
    <x v="31"/>
    <x v="1"/>
    <x v="2"/>
    <s v="Orthopedics"/>
    <x v="20"/>
    <d v="2025-08-23T00:00:00"/>
    <d v="2025-09-01T00:00:00"/>
    <s v="Femur Fracture"/>
    <s v="Internal Fixation"/>
    <n v="192719.37"/>
    <x v="4"/>
    <x v="5"/>
    <s v="Discharged Against Medical Advice"/>
    <x v="1"/>
  </r>
  <r>
    <s v="HOSP-10398"/>
    <s v="Kabir Iyer"/>
    <x v="25"/>
    <x v="0"/>
    <x v="7"/>
    <s v="Neurology"/>
    <x v="21"/>
    <d v="2025-11-19T00:00:00"/>
    <d v="2025-11-27T00:00:00"/>
    <s v="Acute Ischemic Stroke"/>
    <s v="tPA Therapy"/>
    <n v="306515.15000000002"/>
    <x v="5"/>
    <x v="3"/>
    <s v="Admitted"/>
    <x v="1"/>
  </r>
  <r>
    <s v="HOSP-10399"/>
    <s v="Anita Mehta"/>
    <x v="56"/>
    <x v="1"/>
    <x v="0"/>
    <s v="Pediatrics"/>
    <x v="14"/>
    <d v="2025-03-22T00:00:00"/>
    <d v="2025-04-09T00:00:00"/>
    <s v="Neonatal Jaundice"/>
    <s v="Phototherapy"/>
    <n v="269120.03999999998"/>
    <x v="0"/>
    <x v="5"/>
    <s v="Expired"/>
    <x v="4"/>
  </r>
  <r>
    <s v="HOSP-10400"/>
    <s v="Ananya Mehta"/>
    <x v="11"/>
    <x v="1"/>
    <x v="8"/>
    <s v="Cardiology"/>
    <x v="11"/>
    <d v="2025-08-25T00:00:00"/>
    <d v="2025-08-27T00:00:00"/>
    <s v="Arrhythmia"/>
    <s v="Pacemaker Implantation"/>
    <n v="147820.29"/>
    <x v="0"/>
    <x v="0"/>
    <s v="Discharged"/>
    <x v="0"/>
  </r>
  <r>
    <s v="HOSP-10401"/>
    <s v="Sunita Verma"/>
    <x v="43"/>
    <x v="1"/>
    <x v="4"/>
    <s v="Oncology"/>
    <x v="19"/>
    <d v="2025-09-06T00:00:00"/>
    <d v="2025-09-08T00:00:00"/>
    <s v="Lymphoma"/>
    <s v="R-Chop Regimen"/>
    <n v="310729.95"/>
    <x v="5"/>
    <x v="0"/>
    <s v="Discharged Against Medical Advice"/>
    <x v="0"/>
  </r>
  <r>
    <s v="HOSP-10402"/>
    <s v="Aditya Iyer"/>
    <x v="88"/>
    <x v="0"/>
    <x v="2"/>
    <s v="General Medicine"/>
    <x v="18"/>
    <d v="2025-11-01T00:00:00"/>
    <d v="2025-11-10T00:00:00"/>
    <s v="Hypertensive Crisis"/>
    <s v="IV Labetalol"/>
    <n v="174458.85"/>
    <x v="4"/>
    <x v="2"/>
    <s v="Discharged"/>
    <x v="0"/>
  </r>
  <r>
    <s v="HOSP-10403"/>
    <s v="Neha Bose"/>
    <x v="74"/>
    <x v="1"/>
    <x v="2"/>
    <s v="Orthopedics"/>
    <x v="12"/>
    <d v="2025-11-28T00:00:00"/>
    <d v="2025-11-28T00:00:00"/>
    <s v="Osteoarthritis Knee"/>
    <s v="Total Knee Replacement"/>
    <n v="316907.76"/>
    <x v="0"/>
    <x v="0"/>
    <s v="Admitted"/>
    <x v="2"/>
  </r>
  <r>
    <s v="HOSP-10404"/>
    <s v="Meera Mehta"/>
    <x v="87"/>
    <x v="1"/>
    <x v="8"/>
    <s v="Gastroenterology"/>
    <x v="5"/>
    <d v="2025-11-26T00:00:00"/>
    <d v="2025-11-26T00:00:00"/>
    <s v="Peptic Ulcer Bleeding"/>
    <s v="Endoscopic Banding"/>
    <n v="142969.68"/>
    <x v="1"/>
    <x v="4"/>
    <s v="Transferred"/>
    <x v="4"/>
  </r>
  <r>
    <s v="HOSP-10405"/>
    <s v="Vihaan Reddy"/>
    <x v="10"/>
    <x v="0"/>
    <x v="3"/>
    <s v="Pediatrics"/>
    <x v="6"/>
    <d v="2025-11-24T00:00:00"/>
    <d v="2025-11-27T00:00:00"/>
    <s v="Viral Gastroenteritis"/>
    <s v="IV Fluids &amp; Electrolytes"/>
    <n v="319510.84000000003"/>
    <x v="4"/>
    <x v="3"/>
    <s v="Expired"/>
    <x v="0"/>
  </r>
  <r>
    <s v="HOSP-10406"/>
    <s v="Kabir Verma"/>
    <x v="72"/>
    <x v="0"/>
    <x v="2"/>
    <s v="Gastroenterology"/>
    <x v="0"/>
    <d v="2025-01-06T00:00:00"/>
    <d v="2025-01-20T00:00:00"/>
    <s v="Acute Pancreatitis"/>
    <s v="Conservative Management"/>
    <n v="200127.72"/>
    <x v="4"/>
    <x v="1"/>
    <s v="Discharged"/>
    <x v="4"/>
  </r>
  <r>
    <s v="HOSP-10407"/>
    <s v="Manoj Sharma"/>
    <x v="49"/>
    <x v="0"/>
    <x v="4"/>
    <s v="Orthopedics"/>
    <x v="12"/>
    <d v="2025-04-04T00:00:00"/>
    <d v="2025-04-04T00:00:00"/>
    <s v="Femur Fracture"/>
    <s v="Internal Fixation"/>
    <n v="165777.60000000001"/>
    <x v="5"/>
    <x v="4"/>
    <s v="Admitted"/>
    <x v="3"/>
  </r>
  <r>
    <s v="HOSP-10408"/>
    <s v="Suresh Patel"/>
    <x v="16"/>
    <x v="0"/>
    <x v="7"/>
    <s v="Gastroenterology"/>
    <x v="16"/>
    <d v="2025-04-09T00:00:00"/>
    <d v="2025-04-16T00:00:00"/>
    <s v="Peptic Ulcer Bleeding"/>
    <s v="Endoscopic Banding"/>
    <n v="190444.94"/>
    <x v="4"/>
    <x v="1"/>
    <s v="Unknown"/>
    <x v="4"/>
  </r>
  <r>
    <s v="HOSP-10409"/>
    <s v="Deepak Sharma"/>
    <x v="28"/>
    <x v="0"/>
    <x v="5"/>
    <s v="Oncology"/>
    <x v="9"/>
    <d v="2025-05-21T00:00:00"/>
    <d v="2025-06-30T00:00:00"/>
    <s v="Lung Adenocarcinoma"/>
    <s v="Targeted Therapy"/>
    <n v="107567.59"/>
    <x v="3"/>
    <x v="3"/>
    <s v="Admitted"/>
    <x v="2"/>
  </r>
  <r>
    <s v="HOSP-10410"/>
    <s v="Unknown"/>
    <x v="67"/>
    <x v="1"/>
    <x v="7"/>
    <s v="Oncology"/>
    <x v="1"/>
    <d v="2025-07-07T00:00:00"/>
    <d v="2025-08-06T00:00:00"/>
    <s v="Lung Adenocarcinoma"/>
    <s v="Targeted Therapy"/>
    <n v="281407.65999999997"/>
    <x v="4"/>
    <x v="4"/>
    <s v="Admitted"/>
    <x v="3"/>
  </r>
  <r>
    <s v="HOSP-10411"/>
    <s v="Anjali Patel"/>
    <x v="47"/>
    <x v="1"/>
    <x v="10"/>
    <s v="General Medicine"/>
    <x v="18"/>
    <d v="2025-09-09T00:00:00"/>
    <d v="2025-09-12T00:00:00"/>
    <s v="Hypertensive Crisis"/>
    <s v="IV Labetalol"/>
    <n v="0"/>
    <x v="1"/>
    <x v="5"/>
    <s v="Expired"/>
    <x v="2"/>
  </r>
  <r>
    <s v="HOSP-10412"/>
    <s v="Sneha Gupta"/>
    <x v="36"/>
    <x v="1"/>
    <x v="0"/>
    <s v="Oncology"/>
    <x v="1"/>
    <d v="2025-06-08T00:00:00"/>
    <d v="2025-08-27T00:00:00"/>
    <s v="Lung Adenocarcinoma"/>
    <s v="Targeted Therapy"/>
    <n v="174532.25"/>
    <x v="7"/>
    <x v="4"/>
    <s v="Admitted"/>
    <x v="3"/>
  </r>
  <r>
    <s v="HOSP-10413"/>
    <s v="Unknown"/>
    <x v="6"/>
    <x v="1"/>
    <x v="2"/>
    <s v="Cardiology"/>
    <x v="11"/>
    <d v="2025-03-06T00:00:00"/>
    <d v="2025-08-19T00:00:00"/>
    <s v="Coronary Artery Disease"/>
    <s v="Angioplasty"/>
    <n v="72763.16"/>
    <x v="1"/>
    <x v="0"/>
    <s v="Admitted"/>
    <x v="3"/>
  </r>
  <r>
    <s v="HOSP-10414"/>
    <s v="Manoj Bose"/>
    <x v="39"/>
    <x v="0"/>
    <x v="8"/>
    <s v="General Medicine"/>
    <x v="18"/>
    <d v="2025-08-05T00:00:00"/>
    <d v="2025-08-11T00:00:00"/>
    <s v="Urinary Tract Infection"/>
    <s v="Antibiotic Course"/>
    <n v="177051.77"/>
    <x v="4"/>
    <x v="3"/>
    <s v="Expired"/>
    <x v="1"/>
  </r>
  <r>
    <s v="HOSP-10415"/>
    <s v="Sneha Joshi"/>
    <x v="25"/>
    <x v="1"/>
    <x v="0"/>
    <s v="Pediatrics"/>
    <x v="6"/>
    <d v="2025-10-08T00:00:00"/>
    <d v="2025-10-24T00:00:00"/>
    <s v="Unknown"/>
    <s v="Nebulization &amp; O2 Support"/>
    <n v="51762.55"/>
    <x v="3"/>
    <x v="1"/>
    <s v="Discharged Against Medical Advice"/>
    <x v="1"/>
  </r>
  <r>
    <s v="HOSP-10416"/>
    <s v="Manoj Sharma"/>
    <x v="6"/>
    <x v="0"/>
    <x v="5"/>
    <s v="Neurology"/>
    <x v="3"/>
    <d v="2025-11-17T00:00:00"/>
    <d v="2025-11-21T00:00:00"/>
    <s v="Epilepsy"/>
    <s v="Anticonvulsant Therapy"/>
    <n v="172653.26"/>
    <x v="5"/>
    <x v="3"/>
    <s v="Discharged"/>
    <x v="3"/>
  </r>
  <r>
    <s v="HOSP-10417"/>
    <s v="Ramesh Bose"/>
    <x v="7"/>
    <x v="0"/>
    <x v="10"/>
    <s v="Pediatrics"/>
    <x v="5"/>
    <d v="2025-10-13T00:00:00"/>
    <d v="2025-10-26T00:00:00"/>
    <s v="Neonatal Jaundice"/>
    <s v="Phototherapy"/>
    <n v="221457.33"/>
    <x v="2"/>
    <x v="2"/>
    <s v="Expired"/>
    <x v="4"/>
  </r>
  <r>
    <s v="HOSP-10418"/>
    <s v="Ritu Iyer"/>
    <x v="18"/>
    <x v="1"/>
    <x v="6"/>
    <s v="Neurology"/>
    <x v="3"/>
    <d v="2025-08-08T00:00:00"/>
    <d v="2025-08-14T00:00:00"/>
    <s v="Migraine Chronic"/>
    <s v="Botox Injection &amp; Triptans"/>
    <n v="144237.31"/>
    <x v="4"/>
    <x v="0"/>
    <s v="Transferred"/>
    <x v="3"/>
  </r>
  <r>
    <s v="HOSP-10419"/>
    <s v="Amit Kumar"/>
    <x v="33"/>
    <x v="0"/>
    <x v="0"/>
    <s v="Orthopedics"/>
    <x v="20"/>
    <d v="2025-07-12T00:00:00"/>
    <d v="2025-07-12T00:00:00"/>
    <s v="Osteoarthritis Knee"/>
    <s v="Total Knee Replacement"/>
    <n v="154474.9"/>
    <x v="7"/>
    <x v="2"/>
    <s v="Admitted"/>
    <x v="2"/>
  </r>
  <r>
    <s v="HOSP-10420"/>
    <s v="Priya Verma"/>
    <x v="0"/>
    <x v="1"/>
    <x v="6"/>
    <s v="Orthopedics"/>
    <x v="13"/>
    <d v="2025-10-13T00:00:00"/>
    <d v="2025-10-13T00:00:00"/>
    <s v="Osteoarthritis Knee"/>
    <s v="Total Knee Replacement"/>
    <n v="192719.37"/>
    <x v="0"/>
    <x v="3"/>
    <s v="Discharged"/>
    <x v="0"/>
  </r>
  <r>
    <s v="HOSP-10421"/>
    <s v="Meera Iyer"/>
    <x v="16"/>
    <x v="1"/>
    <x v="1"/>
    <s v="Oncology"/>
    <x v="1"/>
    <d v="2025-04-26T00:00:00"/>
    <d v="2025-05-14T00:00:00"/>
    <s v="Colorectal Cancer"/>
    <s v="Colectomy"/>
    <n v="0"/>
    <x v="4"/>
    <x v="2"/>
    <s v="Discharged Against Medical Advice"/>
    <x v="4"/>
  </r>
  <r>
    <s v="HOSP-10422"/>
    <s v="Rohan Bose"/>
    <x v="16"/>
    <x v="0"/>
    <x v="4"/>
    <s v="Orthopedics"/>
    <x v="20"/>
    <d v="2025-08-17T00:00:00"/>
    <d v="2025-08-17T00:00:00"/>
    <s v="Osteoarthritis Knee"/>
    <s v="Unknown"/>
    <n v="218396.94"/>
    <x v="1"/>
    <x v="3"/>
    <s v="Admitted"/>
    <x v="4"/>
  </r>
  <r>
    <s v="HOSP-10423"/>
    <s v="Aarav Reddy"/>
    <x v="86"/>
    <x v="0"/>
    <x v="3"/>
    <s v="Unknown"/>
    <x v="8"/>
    <d v="2025-08-30T00:00:00"/>
    <d v="2025-09-11T00:00:00"/>
    <s v="Myocardial Infarction"/>
    <s v="Thrombolysis"/>
    <n v="47767.94"/>
    <x v="2"/>
    <x v="0"/>
    <s v="Transferred"/>
    <x v="4"/>
  </r>
  <r>
    <s v="HOSP-10424"/>
    <s v="Ananya Nair"/>
    <x v="16"/>
    <x v="1"/>
    <x v="8"/>
    <s v="General Medicine"/>
    <x v="18"/>
    <d v="2025-03-29T00:00:00"/>
    <d v="2025-04-04T00:00:00"/>
    <s v="Type 2 Diabetes Uncontrolled"/>
    <s v="Insulin Titration"/>
    <n v="42917.919999999998"/>
    <x v="7"/>
    <x v="3"/>
    <s v="Discharged Against Medical Advice"/>
    <x v="4"/>
  </r>
  <r>
    <s v="HOSP-10425"/>
    <s v="Rajesh Joshi"/>
    <x v="66"/>
    <x v="0"/>
    <x v="5"/>
    <s v="Orthopedics"/>
    <x v="13"/>
    <d v="2025-01-18T00:00:00"/>
    <d v="2025-02-02T00:00:00"/>
    <s v="Rotator Cuff Tear"/>
    <s v="Arthroscopic Repair"/>
    <n v="276405.78000000003"/>
    <x v="1"/>
    <x v="5"/>
    <s v="Discharged"/>
    <x v="1"/>
  </r>
  <r>
    <s v="HOSP-10426"/>
    <s v="Diya Gupta"/>
    <x v="11"/>
    <x v="1"/>
    <x v="6"/>
    <s v="Pediatrics"/>
    <x v="14"/>
    <d v="2025-09-03T00:00:00"/>
    <d v="2025-09-08T00:00:00"/>
    <s v="Severe Pneumonia"/>
    <s v="IV Antibiotics"/>
    <n v="270242.33"/>
    <x v="7"/>
    <x v="1"/>
    <s v="Discharged Against Medical Advice"/>
    <x v="0"/>
  </r>
  <r>
    <s v="HOSP-10427"/>
    <s v="Aarav Iyer"/>
    <x v="60"/>
    <x v="0"/>
    <x v="5"/>
    <s v="Neurology"/>
    <x v="15"/>
    <d v="2025-10-03T00:00:00"/>
    <d v="2025-10-15T00:00:00"/>
    <s v="Epilepsy"/>
    <s v="Anticonvulsant Therapy"/>
    <n v="243996.75"/>
    <x v="6"/>
    <x v="3"/>
    <s v="Discharged Against Medical Advice"/>
    <x v="4"/>
  </r>
  <r>
    <s v="HOSP-10428"/>
    <s v="Unknown"/>
    <x v="85"/>
    <x v="0"/>
    <x v="8"/>
    <s v="Orthopedics"/>
    <x v="13"/>
    <d v="2025-02-10T00:00:00"/>
    <d v="2025-09-26T00:00:00"/>
    <s v="Osteoarthritis Knee"/>
    <s v="Total Knee Replacement"/>
    <n v="27887.200000000001"/>
    <x v="6"/>
    <x v="1"/>
    <s v="Admitted"/>
    <x v="0"/>
  </r>
  <r>
    <s v="HOSP-10429"/>
    <s v="Suresh Gupta"/>
    <x v="62"/>
    <x v="0"/>
    <x v="9"/>
    <s v="Oncology"/>
    <x v="19"/>
    <d v="2025-08-23T00:00:00"/>
    <d v="2025-09-06T00:00:00"/>
    <s v="Lung Adenocarcinoma"/>
    <s v="Targeted Therapy"/>
    <n v="94685.56"/>
    <x v="3"/>
    <x v="2"/>
    <s v="Discharged Against Medical Advice"/>
    <x v="3"/>
  </r>
  <r>
    <s v="HOSP-10430"/>
    <s v="Priya Verma"/>
    <x v="0"/>
    <x v="1"/>
    <x v="8"/>
    <s v="Gastroenterology"/>
    <x v="16"/>
    <d v="2025-03-02T00:00:00"/>
    <d v="2025-03-05T00:00:00"/>
    <s v="Peptic Ulcer Bleeding"/>
    <s v="Endoscopic Banding"/>
    <n v="297160.62"/>
    <x v="1"/>
    <x v="1"/>
    <s v="Admitted"/>
    <x v="0"/>
  </r>
  <r>
    <s v="HOSP-10431"/>
    <s v="Vihaan Nair"/>
    <x v="48"/>
    <x v="0"/>
    <x v="8"/>
    <s v="Unknown"/>
    <x v="13"/>
    <d v="2025-07-28T00:00:00"/>
    <d v="2025-08-12T00:00:00"/>
    <s v="Rotator Cuff Tear"/>
    <s v="Arthroscopic Repair"/>
    <n v="226360.94"/>
    <x v="3"/>
    <x v="4"/>
    <s v="Transferred"/>
    <x v="2"/>
  </r>
  <r>
    <s v="HOSP-10432"/>
    <s v="Vihaan Verma"/>
    <x v="32"/>
    <x v="0"/>
    <x v="8"/>
    <s v="Oncology"/>
    <x v="1"/>
    <d v="2025-11-09T00:00:00"/>
    <d v="2025-11-09T00:00:00"/>
    <s v="Breast Carcinoma"/>
    <s v="Chemotherapy &amp; Lumpectomy"/>
    <n v="67171.45"/>
    <x v="0"/>
    <x v="3"/>
    <s v="Admitted"/>
    <x v="0"/>
  </r>
  <r>
    <s v="HOSP-10433"/>
    <s v="Aarav Joshi"/>
    <x v="5"/>
    <x v="0"/>
    <x v="5"/>
    <s v="Gastroenterology"/>
    <x v="16"/>
    <d v="2025-06-23T00:00:00"/>
    <d v="2025-06-29T00:00:00"/>
    <s v="Liver Cirrhosis"/>
    <s v="Paracentesis &amp; Diuretics"/>
    <n v="269392.61"/>
    <x v="3"/>
    <x v="0"/>
    <s v="Discharged Against Medical Advice"/>
    <x v="2"/>
  </r>
  <r>
    <s v="HOSP-10434"/>
    <s v="Deepak Mehta"/>
    <x v="32"/>
    <x v="0"/>
    <x v="9"/>
    <s v="Orthopedics"/>
    <x v="12"/>
    <d v="2025-11-12T00:00:00"/>
    <d v="2025-11-16T00:00:00"/>
    <s v="Femur Fracture"/>
    <s v="Internal Fixation"/>
    <n v="58427.63"/>
    <x v="4"/>
    <x v="3"/>
    <s v="Expired"/>
    <x v="0"/>
  </r>
  <r>
    <s v="HOSP-10435"/>
    <s v="Rajesh Verma"/>
    <x v="7"/>
    <x v="0"/>
    <x v="5"/>
    <s v="Neurology"/>
    <x v="5"/>
    <d v="2025-12-09T00:00:00"/>
    <d v="2025-12-17T00:00:00"/>
    <s v="Epilepsy"/>
    <s v="Anticonvulsant Therapy"/>
    <n v="231726.06"/>
    <x v="1"/>
    <x v="3"/>
    <s v="Discharged Against Medical Advice"/>
    <x v="4"/>
  </r>
  <r>
    <s v="HOSP-10436"/>
    <s v="Aditya Iyer"/>
    <x v="8"/>
    <x v="0"/>
    <x v="6"/>
    <s v="General Medicine"/>
    <x v="2"/>
    <d v="2025-03-30T00:00:00"/>
    <d v="2025-04-15T00:00:00"/>
    <s v="Hypertensive Crisis"/>
    <s v="IV Labetalol"/>
    <n v="0"/>
    <x v="5"/>
    <x v="1"/>
    <s v="Expired"/>
    <x v="2"/>
  </r>
  <r>
    <s v="HOSP-10437"/>
    <s v="Amit Joshi"/>
    <x v="33"/>
    <x v="0"/>
    <x v="2"/>
    <s v="Oncology"/>
    <x v="9"/>
    <d v="2025-09-29T00:00:00"/>
    <d v="2025-10-03T00:00:00"/>
    <s v="Unknown"/>
    <s v="R-Chop Regimen"/>
    <n v="192719.37"/>
    <x v="5"/>
    <x v="1"/>
    <s v="Transferred"/>
    <x v="2"/>
  </r>
  <r>
    <s v="HOSP-10438"/>
    <s v="Anjali Nair"/>
    <x v="71"/>
    <x v="1"/>
    <x v="4"/>
    <s v="Cardiology"/>
    <x v="11"/>
    <d v="2025-08-23T00:00:00"/>
    <d v="2025-08-23T00:00:00"/>
    <s v="Myocardial Infarction"/>
    <s v="Thrombolysis"/>
    <n v="330944.7"/>
    <x v="7"/>
    <x v="2"/>
    <s v="Discharged"/>
    <x v="2"/>
  </r>
  <r>
    <s v="HOSP-10439"/>
    <s v="Vikram Verma"/>
    <x v="4"/>
    <x v="0"/>
    <x v="2"/>
    <s v="Gastroenterology"/>
    <x v="16"/>
    <d v="2025-07-17T00:00:00"/>
    <d v="2025-07-24T00:00:00"/>
    <s v="Acute Pancreatitis"/>
    <s v="Conservative Management"/>
    <n v="81737.710000000006"/>
    <x v="3"/>
    <x v="3"/>
    <s v="Expired"/>
    <x v="1"/>
  </r>
  <r>
    <s v="HOSP-10440"/>
    <s v="Sneha Joshi"/>
    <x v="4"/>
    <x v="1"/>
    <x v="3"/>
    <s v="Oncology"/>
    <x v="1"/>
    <d v="2025-06-18T00:00:00"/>
    <d v="2025-06-19T00:00:00"/>
    <s v="Lung Adenocarcinoma"/>
    <s v="Targeted Therapy"/>
    <n v="15338.44"/>
    <x v="5"/>
    <x v="1"/>
    <s v="Transferred"/>
    <x v="1"/>
  </r>
  <r>
    <s v="HOSP-10441"/>
    <s v="Ritu Mehta"/>
    <x v="26"/>
    <x v="1"/>
    <x v="9"/>
    <s v="Oncology"/>
    <x v="1"/>
    <d v="2025-02-08T00:00:00"/>
    <d v="2025-02-21T00:00:00"/>
    <s v="Lymphoma"/>
    <s v="R-Chop Regimen"/>
    <n v="301563.46000000002"/>
    <x v="3"/>
    <x v="1"/>
    <s v="Expired"/>
    <x v="4"/>
  </r>
  <r>
    <s v="HOSP-10442"/>
    <s v="Meera Kumar"/>
    <x v="18"/>
    <x v="1"/>
    <x v="1"/>
    <s v="Cardiology"/>
    <x v="11"/>
    <d v="2025-10-03T00:00:00"/>
    <d v="2025-10-16T00:00:00"/>
    <s v="Coronary Artery Disease"/>
    <s v="Angioplasty"/>
    <n v="266848.95"/>
    <x v="7"/>
    <x v="2"/>
    <s v="Discharged"/>
    <x v="3"/>
  </r>
  <r>
    <s v="HOSP-10443"/>
    <s v="Aarav Iyer"/>
    <x v="6"/>
    <x v="0"/>
    <x v="7"/>
    <s v="Cardiology"/>
    <x v="17"/>
    <d v="2025-08-14T00:00:00"/>
    <d v="2025-10-19T00:00:00"/>
    <s v="Arrhythmia"/>
    <s v="Pacemaker Implantation"/>
    <n v="192719.37"/>
    <x v="1"/>
    <x v="3"/>
    <s v="Admitted"/>
    <x v="3"/>
  </r>
  <r>
    <s v="HOSP-10444"/>
    <s v="Suresh Kumar"/>
    <x v="56"/>
    <x v="0"/>
    <x v="5"/>
    <s v="Neurology"/>
    <x v="21"/>
    <d v="2025-06-25T00:00:00"/>
    <d v="2025-10-20T00:00:00"/>
    <s v="Epilepsy"/>
    <s v="Anticonvulsant Therapy"/>
    <n v="61183.79"/>
    <x v="5"/>
    <x v="3"/>
    <s v="Admitted"/>
    <x v="4"/>
  </r>
  <r>
    <s v="HOSP-10445"/>
    <s v="Manoj Verma"/>
    <x v="39"/>
    <x v="0"/>
    <x v="10"/>
    <s v="Pediatrics"/>
    <x v="14"/>
    <d v="2025-08-27T00:00:00"/>
    <d v="2025-10-21T00:00:00"/>
    <s v="Unknown"/>
    <s v="IV Fluids &amp; Electrolytes"/>
    <n v="257045.17"/>
    <x v="7"/>
    <x v="2"/>
    <s v="Admitted"/>
    <x v="1"/>
  </r>
  <r>
    <s v="HOSP-10446"/>
    <s v="Vihaan Singh"/>
    <x v="80"/>
    <x v="0"/>
    <x v="0"/>
    <s v="Oncology"/>
    <x v="1"/>
    <d v="2025-10-04T00:00:00"/>
    <d v="2025-10-21T00:00:00"/>
    <s v="Colorectal Cancer"/>
    <s v="Colectomy"/>
    <n v="113667.33"/>
    <x v="5"/>
    <x v="3"/>
    <s v="Transferred"/>
    <x v="4"/>
  </r>
  <r>
    <s v="HOSP-10447"/>
    <s v="Rajesh Mehta"/>
    <x v="17"/>
    <x v="0"/>
    <x v="8"/>
    <s v="Oncology"/>
    <x v="1"/>
    <d v="2025-05-26T00:00:00"/>
    <d v="2025-07-11T00:00:00"/>
    <s v="Lung Adenocarcinoma"/>
    <s v="Targeted Therapy"/>
    <n v="327664.96000000002"/>
    <x v="5"/>
    <x v="1"/>
    <s v="Admitted"/>
    <x v="0"/>
  </r>
  <r>
    <s v="HOSP-10448"/>
    <s v="Sunita Joshi"/>
    <x v="45"/>
    <x v="1"/>
    <x v="7"/>
    <s v="Orthopedics"/>
    <x v="12"/>
    <d v="2025-03-19T00:00:00"/>
    <d v="2025-03-31T00:00:00"/>
    <s v="Rotator Cuff Tear"/>
    <s v="Arthroscopic Repair"/>
    <n v="14412.2"/>
    <x v="0"/>
    <x v="3"/>
    <s v="Discharged Against Medical Advice"/>
    <x v="4"/>
  </r>
  <r>
    <s v="HOSP-10449"/>
    <s v="Pooja Mehta"/>
    <x v="87"/>
    <x v="1"/>
    <x v="9"/>
    <s v="Pediatrics"/>
    <x v="4"/>
    <d v="2025-10-27T00:00:00"/>
    <d v="2025-11-02T00:00:00"/>
    <s v="Acute Bronchiolitis"/>
    <s v="Nebulization &amp; O2 Support"/>
    <n v="206432.71"/>
    <x v="4"/>
    <x v="2"/>
    <s v="Expired"/>
    <x v="4"/>
  </r>
  <r>
    <s v="HOSP-10450"/>
    <s v="Ramesh Patel"/>
    <x v="33"/>
    <x v="0"/>
    <x v="0"/>
    <s v="Neurology"/>
    <x v="15"/>
    <d v="2025-05-04T00:00:00"/>
    <d v="2025-05-15T00:00:00"/>
    <s v="Unknown"/>
    <s v="tPA Therapy"/>
    <n v="192719.37"/>
    <x v="2"/>
    <x v="2"/>
    <s v="Transferred"/>
    <x v="2"/>
  </r>
  <r>
    <s v="HOSP-10451"/>
    <s v="Ritu Mehta"/>
    <x v="87"/>
    <x v="1"/>
    <x v="9"/>
    <s v="Orthopedics"/>
    <x v="20"/>
    <d v="2025-01-27T00:00:00"/>
    <d v="2025-02-07T00:00:00"/>
    <s v="Lumbar Spondylosis"/>
    <s v="Spinal Decompression"/>
    <n v="222821.85"/>
    <x v="5"/>
    <x v="3"/>
    <s v="Discharged"/>
    <x v="4"/>
  </r>
  <r>
    <s v="HOSP-10452"/>
    <s v="Vihaan Singh"/>
    <x v="56"/>
    <x v="0"/>
    <x v="6"/>
    <s v="Gastroenterology"/>
    <x v="16"/>
    <d v="2025-02-16T00:00:00"/>
    <d v="2025-02-16T00:00:00"/>
    <s v="Acute Pancreatitis"/>
    <s v="Conservative Management"/>
    <n v="68567.039999999994"/>
    <x v="1"/>
    <x v="3"/>
    <s v="Admitted"/>
    <x v="4"/>
  </r>
  <r>
    <s v="HOSP-10453"/>
    <s v="Manoj Patel"/>
    <x v="6"/>
    <x v="0"/>
    <x v="6"/>
    <s v="Gastroenterology"/>
    <x v="0"/>
    <d v="2025-02-21T00:00:00"/>
    <d v="2025-02-23T00:00:00"/>
    <s v="Gallstones / Cholecystitis"/>
    <s v="Laparoscopic Cholecystectomy"/>
    <n v="245988.96"/>
    <x v="6"/>
    <x v="1"/>
    <s v="Discharged"/>
    <x v="3"/>
  </r>
  <r>
    <s v="HOSP-10454"/>
    <s v="Rajesh Singh"/>
    <x v="81"/>
    <x v="0"/>
    <x v="10"/>
    <s v="Oncology"/>
    <x v="5"/>
    <d v="2025-06-17T00:00:00"/>
    <d v="2025-06-26T00:00:00"/>
    <s v="Breast Carcinoma"/>
    <s v="Chemotherapy &amp; Lumpectomy"/>
    <n v="75111.69"/>
    <x v="2"/>
    <x v="3"/>
    <s v="Expired"/>
    <x v="3"/>
  </r>
  <r>
    <s v="HOSP-10455"/>
    <s v="Deepak Verma"/>
    <x v="25"/>
    <x v="0"/>
    <x v="9"/>
    <s v="Pediatrics"/>
    <x v="14"/>
    <d v="2025-04-16T00:00:00"/>
    <d v="2025-04-19T00:00:00"/>
    <s v="Acute Bronchiolitis"/>
    <s v="Nebulization &amp; O2 Support"/>
    <n v="180878.3"/>
    <x v="0"/>
    <x v="3"/>
    <s v="Discharged"/>
    <x v="1"/>
  </r>
  <r>
    <s v="HOSP-10456"/>
    <s v="Aarav Mehta"/>
    <x v="63"/>
    <x v="0"/>
    <x v="9"/>
    <s v="Neurology"/>
    <x v="3"/>
    <d v="2025-03-22T00:00:00"/>
    <d v="2025-04-06T00:00:00"/>
    <s v="Epilepsy"/>
    <s v="Anticonvulsant Therapy"/>
    <n v="68817.2"/>
    <x v="4"/>
    <x v="0"/>
    <s v="Discharged Against Medical Advice"/>
    <x v="0"/>
  </r>
  <r>
    <s v="HOSP-10457"/>
    <s v="Ritu Singh"/>
    <x v="64"/>
    <x v="1"/>
    <x v="8"/>
    <s v="Pediatrics"/>
    <x v="14"/>
    <d v="2025-05-31T00:00:00"/>
    <d v="2025-06-07T00:00:00"/>
    <s v="Acute Bronchiolitis"/>
    <s v="Nebulization &amp; O2 Support"/>
    <n v="349212.27"/>
    <x v="6"/>
    <x v="2"/>
    <s v="Expired"/>
    <x v="1"/>
  </r>
  <r>
    <s v="HOSP-10458"/>
    <s v="Sneha Gupta"/>
    <x v="54"/>
    <x v="3"/>
    <x v="4"/>
    <s v="Neurology"/>
    <x v="5"/>
    <d v="2025-04-05T00:00:00"/>
    <d v="2025-04-14T00:00:00"/>
    <s v="Migraine Chronic"/>
    <s v="Botox Injection &amp; Triptans"/>
    <n v="229226.77"/>
    <x v="4"/>
    <x v="2"/>
    <s v="Expired"/>
    <x v="1"/>
  </r>
  <r>
    <s v="HOSP-10459"/>
    <s v="Vikram Mehta"/>
    <x v="82"/>
    <x v="0"/>
    <x v="2"/>
    <s v="Oncology"/>
    <x v="1"/>
    <d v="2025-02-01T00:00:00"/>
    <d v="2025-04-19T00:00:00"/>
    <s v="Lung Adenocarcinoma"/>
    <s v="Targeted Therapy"/>
    <n v="183161.99"/>
    <x v="7"/>
    <x v="3"/>
    <s v="Admitted"/>
    <x v="0"/>
  </r>
  <r>
    <s v="HOSP-10460"/>
    <s v="Amit Singh"/>
    <x v="28"/>
    <x v="3"/>
    <x v="4"/>
    <s v="Pediatrics"/>
    <x v="6"/>
    <d v="2025-04-08T00:00:00"/>
    <d v="2025-04-24T00:00:00"/>
    <s v="Acute Bronchiolitis"/>
    <s v="Nebulization &amp; O2 Support"/>
    <n v="129525.51"/>
    <x v="5"/>
    <x v="0"/>
    <s v="Discharged"/>
    <x v="2"/>
  </r>
  <r>
    <s v="HOSP-10461"/>
    <s v="Vikram Verma"/>
    <x v="35"/>
    <x v="0"/>
    <x v="9"/>
    <s v="Neurology"/>
    <x v="15"/>
    <d v="2025-02-10T00:00:00"/>
    <d v="2025-08-18T00:00:00"/>
    <s v="Acute Ischemic Stroke"/>
    <s v="tPA Therapy"/>
    <n v="174036.3"/>
    <x v="7"/>
    <x v="0"/>
    <s v="Discharged"/>
    <x v="2"/>
  </r>
  <r>
    <s v="HOSP-10462"/>
    <s v="Rajesh Singh"/>
    <x v="60"/>
    <x v="0"/>
    <x v="4"/>
    <s v="General Medicine"/>
    <x v="2"/>
    <d v="2025-12-10T00:00:00"/>
    <d v="2025-12-11T00:00:00"/>
    <s v="Unknown"/>
    <s v="Platelet Support"/>
    <n v="21364.73"/>
    <x v="7"/>
    <x v="4"/>
    <s v="Discharged"/>
    <x v="4"/>
  </r>
  <r>
    <s v="HOSP-10463"/>
    <s v="Sneha Iyer"/>
    <x v="20"/>
    <x v="1"/>
    <x v="8"/>
    <s v="Orthopedics"/>
    <x v="13"/>
    <d v="2025-07-18T00:00:00"/>
    <d v="2025-07-25T00:00:00"/>
    <s v="Rotator Cuff Tear"/>
    <s v="Arthroscopic Repair"/>
    <n v="318228"/>
    <x v="0"/>
    <x v="4"/>
    <s v="Discharged"/>
    <x v="0"/>
  </r>
  <r>
    <s v="HOSP-10464"/>
    <s v="Diya Reddy"/>
    <x v="9"/>
    <x v="1"/>
    <x v="9"/>
    <s v="Pediatrics"/>
    <x v="4"/>
    <d v="2025-02-01T00:00:00"/>
    <d v="2025-02-18T00:00:00"/>
    <s v="Acute Bronchiolitis"/>
    <s v="Nebulization &amp; O2 Support"/>
    <n v="344496.24"/>
    <x v="4"/>
    <x v="1"/>
    <s v="Discharged Against Medical Advice"/>
    <x v="0"/>
  </r>
  <r>
    <s v="HOSP-10465"/>
    <s v="Priya Patel"/>
    <x v="62"/>
    <x v="1"/>
    <x v="10"/>
    <s v="Cardiology"/>
    <x v="17"/>
    <d v="2025-12-20T00:00:00"/>
    <d v="2025-12-29T00:00:00"/>
    <s v="Unknown"/>
    <s v="Pacemaker Implantation"/>
    <n v="179146.94"/>
    <x v="2"/>
    <x v="1"/>
    <s v="Expired"/>
    <x v="3"/>
  </r>
  <r>
    <s v="HOSP-10466"/>
    <s v="Vikram Iyer"/>
    <x v="61"/>
    <x v="3"/>
    <x v="8"/>
    <s v="Pediatrics"/>
    <x v="4"/>
    <d v="2025-06-26T00:00:00"/>
    <d v="2025-07-08T00:00:00"/>
    <s v="Severe Pneumonia"/>
    <s v="IV Antibiotics"/>
    <n v="346234.73"/>
    <x v="1"/>
    <x v="0"/>
    <s v="Discharged"/>
    <x v="0"/>
  </r>
  <r>
    <s v="HOSP-10467"/>
    <s v="Vihaan Verma"/>
    <x v="35"/>
    <x v="0"/>
    <x v="7"/>
    <s v="Gastroenterology"/>
    <x v="0"/>
    <d v="2025-08-18T00:00:00"/>
    <d v="2025-08-18T00:00:00"/>
    <s v="Peptic Ulcer Bleeding"/>
    <s v="Endoscopic Banding"/>
    <n v="192719.37"/>
    <x v="5"/>
    <x v="3"/>
    <s v="Admitted"/>
    <x v="2"/>
  </r>
  <r>
    <s v="HOSP-10468"/>
    <s v="Deepak Verma"/>
    <x v="54"/>
    <x v="0"/>
    <x v="9"/>
    <s v="Cardiology"/>
    <x v="11"/>
    <d v="2025-01-29T00:00:00"/>
    <d v="2025-02-05T00:00:00"/>
    <s v="Coronary Artery Disease"/>
    <s v="Angioplasty"/>
    <n v="284470.31"/>
    <x v="7"/>
    <x v="0"/>
    <s v="Transferred"/>
    <x v="1"/>
  </r>
  <r>
    <s v="HOSP-10469"/>
    <s v="Manoj Nair"/>
    <x v="36"/>
    <x v="0"/>
    <x v="4"/>
    <s v="Orthopedics"/>
    <x v="12"/>
    <d v="2025-12-07T00:00:00"/>
    <d v="2025-12-07T00:00:00"/>
    <s v="Rotator Cuff Tear"/>
    <s v="Arthroscopic Repair"/>
    <n v="291337.67"/>
    <x v="4"/>
    <x v="3"/>
    <s v="Admitted"/>
    <x v="3"/>
  </r>
  <r>
    <s v="HOSP-10470"/>
    <s v="Aditya Mehta"/>
    <x v="64"/>
    <x v="0"/>
    <x v="4"/>
    <s v="Neurology"/>
    <x v="21"/>
    <d v="2025-09-19T00:00:00"/>
    <d v="2025-09-19T00:00:00"/>
    <s v="Acute Ischemic Stroke"/>
    <s v="tPA Therapy"/>
    <n v="315860.09999999998"/>
    <x v="1"/>
    <x v="0"/>
    <s v="Admitted"/>
    <x v="1"/>
  </r>
  <r>
    <s v="HOSP-10471"/>
    <s v="Deepak Bose"/>
    <x v="86"/>
    <x v="0"/>
    <x v="6"/>
    <s v="Cardiology"/>
    <x v="8"/>
    <d v="2025-11-25T00:00:00"/>
    <d v="2025-11-27T00:00:00"/>
    <s v="Myocardial Infarction"/>
    <s v="Thrombolysis"/>
    <n v="0"/>
    <x v="1"/>
    <x v="0"/>
    <s v="Expired"/>
    <x v="4"/>
  </r>
  <r>
    <s v="HOSP-10472"/>
    <s v="Sunita Kumar"/>
    <x v="68"/>
    <x v="1"/>
    <x v="6"/>
    <s v="Unknown"/>
    <x v="16"/>
    <d v="2025-01-11T00:00:00"/>
    <d v="2025-01-15T00:00:00"/>
    <s v="Peptic Ulcer Bleeding"/>
    <s v="Endoscopic Banding"/>
    <n v="12286.13"/>
    <x v="1"/>
    <x v="3"/>
    <s v="Discharged"/>
    <x v="1"/>
  </r>
  <r>
    <s v="HOSP-10473"/>
    <s v="Priya Verma"/>
    <x v="60"/>
    <x v="1"/>
    <x v="10"/>
    <s v="Gastroenterology"/>
    <x v="0"/>
    <d v="2025-05-03T00:00:00"/>
    <d v="2025-05-06T00:00:00"/>
    <s v="Liver Cirrhosis"/>
    <s v="Paracentesis &amp; Diuretics"/>
    <n v="81893.210000000006"/>
    <x v="1"/>
    <x v="2"/>
    <s v="Transferred"/>
    <x v="4"/>
  </r>
  <r>
    <s v="HOSP-10474"/>
    <s v="Manoj Mehta"/>
    <x v="57"/>
    <x v="0"/>
    <x v="9"/>
    <s v="Gastroenterology"/>
    <x v="0"/>
    <d v="2025-08-18T00:00:00"/>
    <d v="2025-08-18T00:00:00"/>
    <s v="Liver Cirrhosis"/>
    <s v="Paracentesis &amp; Diuretics"/>
    <n v="0"/>
    <x v="2"/>
    <x v="2"/>
    <s v="Admitted"/>
    <x v="3"/>
  </r>
  <r>
    <s v="HOSP-10475"/>
    <s v="Meera Bose"/>
    <x v="65"/>
    <x v="1"/>
    <x v="7"/>
    <s v="Orthopedics"/>
    <x v="20"/>
    <d v="2025-02-06T00:00:00"/>
    <d v="2025-09-27T00:00:00"/>
    <s v="Lumbar Spondylosis"/>
    <s v="Spinal Decompression"/>
    <n v="15667.1"/>
    <x v="0"/>
    <x v="1"/>
    <s v="Admitted"/>
    <x v="2"/>
  </r>
  <r>
    <s v="HOSP-10476"/>
    <s v="Priya Joshi"/>
    <x v="82"/>
    <x v="1"/>
    <x v="7"/>
    <s v="Orthopedics"/>
    <x v="12"/>
    <d v="2025-10-26T00:00:00"/>
    <d v="2025-11-13T00:00:00"/>
    <s v="Lumbar Spondylosis"/>
    <s v="Spinal Decompression"/>
    <n v="32457.05"/>
    <x v="1"/>
    <x v="5"/>
    <s v="Discharged"/>
    <x v="0"/>
  </r>
  <r>
    <s v="HOSP-10477"/>
    <s v="Rohan Bose"/>
    <x v="73"/>
    <x v="0"/>
    <x v="3"/>
    <s v="Pediatrics"/>
    <x v="14"/>
    <d v="2025-06-09T00:00:00"/>
    <d v="2025-11-07T00:00:00"/>
    <s v="Severe Pneumonia"/>
    <s v="IV Antibiotics"/>
    <n v="328190.71000000002"/>
    <x v="7"/>
    <x v="2"/>
    <s v="Admitted"/>
    <x v="4"/>
  </r>
  <r>
    <s v="HOSP-10478"/>
    <s v="Vihaan Verma"/>
    <x v="6"/>
    <x v="0"/>
    <x v="8"/>
    <s v="Cardiology"/>
    <x v="17"/>
    <d v="2025-10-18T00:00:00"/>
    <d v="2025-11-01T00:00:00"/>
    <s v="Heart Failure"/>
    <s v="Ace Inhibitors &amp; Diuretics"/>
    <n v="102588.38"/>
    <x v="4"/>
    <x v="1"/>
    <s v="Discharged Against Medical Advice"/>
    <x v="3"/>
  </r>
  <r>
    <s v="HOSP-10479"/>
    <s v="Anita Joshi"/>
    <x v="6"/>
    <x v="1"/>
    <x v="5"/>
    <s v="Pediatrics"/>
    <x v="5"/>
    <d v="2025-06-23T00:00:00"/>
    <d v="2025-06-24T00:00:00"/>
    <s v="Severe Pneumonia"/>
    <s v="IV Antibiotics"/>
    <n v="243594.27"/>
    <x v="1"/>
    <x v="2"/>
    <s v="Discharged Against Medical Advice"/>
    <x v="3"/>
  </r>
  <r>
    <s v="HOSP-10480"/>
    <s v="Neha Iyer"/>
    <x v="73"/>
    <x v="1"/>
    <x v="1"/>
    <s v="Oncology"/>
    <x v="19"/>
    <d v="2025-08-02T00:00:00"/>
    <d v="2025-08-02T00:00:00"/>
    <s v="Breast Carcinoma"/>
    <s v="Chemotherapy &amp; Lumpectomy"/>
    <n v="261994.94"/>
    <x v="6"/>
    <x v="3"/>
    <s v="Admitted"/>
    <x v="4"/>
  </r>
  <r>
    <s v="HOSP-10481"/>
    <s v="Neha Reddy"/>
    <x v="24"/>
    <x v="1"/>
    <x v="10"/>
    <s v="Gastroenterology"/>
    <x v="16"/>
    <d v="2025-07-02T00:00:00"/>
    <d v="2025-07-15T00:00:00"/>
    <s v="Acute Pancreatitis"/>
    <s v="Conservative Management"/>
    <n v="80052.56"/>
    <x v="4"/>
    <x v="3"/>
    <s v="Discharged Against Medical Advice"/>
    <x v="4"/>
  </r>
  <r>
    <s v="HOSP-10482"/>
    <s v="Rohan Mehta"/>
    <x v="53"/>
    <x v="0"/>
    <x v="3"/>
    <s v="Oncology"/>
    <x v="19"/>
    <d v="2025-03-20T00:00:00"/>
    <d v="2025-03-31T00:00:00"/>
    <s v="Colorectal Cancer"/>
    <s v="Colectomy"/>
    <n v="256542.3"/>
    <x v="2"/>
    <x v="2"/>
    <s v="Admitted"/>
    <x v="4"/>
  </r>
  <r>
    <s v="HOSP-10483"/>
    <s v="Vihaan Sharma"/>
    <x v="19"/>
    <x v="0"/>
    <x v="7"/>
    <s v="Orthopedics"/>
    <x v="13"/>
    <d v="2025-11-28T00:00:00"/>
    <d v="2025-11-28T00:00:00"/>
    <s v="Lumbar Spondylosis"/>
    <s v="Spinal Decompression"/>
    <n v="285895.32"/>
    <x v="7"/>
    <x v="2"/>
    <s v="Admitted"/>
    <x v="2"/>
  </r>
  <r>
    <s v="HOSP-10484"/>
    <s v="Suresh Nair"/>
    <x v="51"/>
    <x v="0"/>
    <x v="1"/>
    <s v="Pediatrics"/>
    <x v="4"/>
    <d v="2025-11-24T00:00:00"/>
    <d v="2025-12-14T00:00:00"/>
    <s v="Acute Bronchiolitis"/>
    <s v="Nebulization &amp; O2 Support"/>
    <n v="222973.23"/>
    <x v="5"/>
    <x v="0"/>
    <s v="Transferred"/>
    <x v="3"/>
  </r>
  <r>
    <s v="HOSP-10485"/>
    <s v="Unknown"/>
    <x v="6"/>
    <x v="1"/>
    <x v="10"/>
    <s v="Gastroenterology"/>
    <x v="0"/>
    <d v="2025-11-20T00:00:00"/>
    <d v="2025-11-28T00:00:00"/>
    <s v="Liver Cirrhosis"/>
    <s v="Paracentesis &amp; Diuretics"/>
    <n v="118716.9"/>
    <x v="1"/>
    <x v="2"/>
    <s v="Expired"/>
    <x v="3"/>
  </r>
  <r>
    <s v="HOSP-10486"/>
    <s v="Meera Singh"/>
    <x v="80"/>
    <x v="1"/>
    <x v="9"/>
    <s v="Oncology"/>
    <x v="19"/>
    <d v="2025-12-06T00:00:00"/>
    <d v="2025-12-15T00:00:00"/>
    <s v="Colorectal Cancer"/>
    <s v="Colectomy"/>
    <n v="308187.65999999997"/>
    <x v="1"/>
    <x v="4"/>
    <s v="Discharged"/>
    <x v="4"/>
  </r>
  <r>
    <s v="HOSP-10487"/>
    <s v="Rohan Kumar"/>
    <x v="18"/>
    <x v="0"/>
    <x v="0"/>
    <s v="Oncology"/>
    <x v="9"/>
    <d v="2025-01-18T00:00:00"/>
    <d v="2025-01-25T00:00:00"/>
    <s v="Breast Carcinoma"/>
    <s v="Chemotherapy &amp; Lumpectomy"/>
    <n v="316292.25"/>
    <x v="3"/>
    <x v="0"/>
    <s v="Transferred"/>
    <x v="3"/>
  </r>
  <r>
    <s v="HOSP-10488"/>
    <s v="Kabir Reddy"/>
    <x v="84"/>
    <x v="0"/>
    <x v="1"/>
    <s v="General Medicine"/>
    <x v="7"/>
    <d v="2025-01-19T00:00:00"/>
    <d v="2025-01-20T00:00:00"/>
    <s v="Dengue Fever With Thrombocytopenia"/>
    <s v="Unknown"/>
    <n v="138512.87"/>
    <x v="3"/>
    <x v="0"/>
    <s v="Discharged Against Medical Advice"/>
    <x v="1"/>
  </r>
  <r>
    <s v="HOSP-10489"/>
    <s v="Diya Sharma"/>
    <x v="9"/>
    <x v="1"/>
    <x v="2"/>
    <s v="Cardiology"/>
    <x v="17"/>
    <d v="2025-10-31T00:00:00"/>
    <d v="2025-11-18T00:00:00"/>
    <s v="Myocardial Infarction"/>
    <s v="Thrombolysis"/>
    <n v="238186.54"/>
    <x v="0"/>
    <x v="0"/>
    <s v="Expired"/>
    <x v="0"/>
  </r>
  <r>
    <s v="HOSP-10490"/>
    <s v="Anita Gupta"/>
    <x v="21"/>
    <x v="1"/>
    <x v="5"/>
    <s v="Cardiology"/>
    <x v="8"/>
    <d v="2025-06-20T00:00:00"/>
    <d v="2025-07-06T00:00:00"/>
    <s v="Arrhythmia"/>
    <s v="Pacemaker Implantation"/>
    <n v="164538.67000000001"/>
    <x v="0"/>
    <x v="3"/>
    <s v="Expired"/>
    <x v="4"/>
  </r>
  <r>
    <s v="HOSP-10491"/>
    <s v="Priya Sharma"/>
    <x v="43"/>
    <x v="1"/>
    <x v="6"/>
    <s v="Pediatrics"/>
    <x v="14"/>
    <d v="2025-07-06T00:00:00"/>
    <d v="2025-07-16T00:00:00"/>
    <s v="Severe Pneumonia"/>
    <s v="IV Antibiotics"/>
    <n v="265719.40000000002"/>
    <x v="2"/>
    <x v="1"/>
    <s v="Discharged Against Medical Advice"/>
    <x v="0"/>
  </r>
  <r>
    <s v="HOSP-10492"/>
    <s v="Pooja Reddy"/>
    <x v="69"/>
    <x v="1"/>
    <x v="9"/>
    <s v="Orthopedics"/>
    <x v="20"/>
    <d v="2025-09-23T00:00:00"/>
    <d v="2025-10-07T00:00:00"/>
    <s v="Lumbar Spondylosis"/>
    <s v="Spinal Decompression"/>
    <n v="189134.85"/>
    <x v="4"/>
    <x v="3"/>
    <s v="Discharged Against Medical Advice"/>
    <x v="4"/>
  </r>
  <r>
    <s v="HOSP-10493"/>
    <s v="Amit Patel"/>
    <x v="70"/>
    <x v="0"/>
    <x v="2"/>
    <s v="Pediatrics"/>
    <x v="14"/>
    <d v="2025-02-18T00:00:00"/>
    <d v="2025-02-24T00:00:00"/>
    <s v="Neonatal Jaundice"/>
    <s v="Phototherapy"/>
    <n v="5470.34"/>
    <x v="6"/>
    <x v="2"/>
    <s v="Discharged"/>
    <x v="3"/>
  </r>
  <r>
    <s v="HOSP-10494"/>
    <s v="Priya Verma"/>
    <x v="28"/>
    <x v="1"/>
    <x v="6"/>
    <s v="Oncology"/>
    <x v="1"/>
    <d v="2025-02-28T00:00:00"/>
    <d v="2025-03-05T00:00:00"/>
    <s v="Breast Carcinoma"/>
    <s v="Chemotherapy &amp; Lumpectomy"/>
    <n v="192719.37"/>
    <x v="4"/>
    <x v="0"/>
    <s v="Expired"/>
    <x v="2"/>
  </r>
  <r>
    <s v="HOSP-10495"/>
    <s v="Neha Gupta"/>
    <x v="84"/>
    <x v="1"/>
    <x v="2"/>
    <s v="Pediatrics"/>
    <x v="6"/>
    <d v="2025-05-08T00:00:00"/>
    <d v="2025-05-17T00:00:00"/>
    <s v="Severe Pneumonia"/>
    <s v="Unknown"/>
    <n v="298327.53999999998"/>
    <x v="4"/>
    <x v="5"/>
    <s v="Discharged"/>
    <x v="1"/>
  </r>
  <r>
    <s v="HOSP-10496"/>
    <s v="Kabir Nair"/>
    <x v="72"/>
    <x v="0"/>
    <x v="3"/>
    <s v="Gastroenterology"/>
    <x v="10"/>
    <d v="2025-07-04T00:00:00"/>
    <d v="2025-11-21T00:00:00"/>
    <s v="Peptic Ulcer Bleeding"/>
    <s v="Endoscopic Banding"/>
    <n v="64061.41"/>
    <x v="2"/>
    <x v="0"/>
    <s v="Discharged Against Medical Advice"/>
    <x v="4"/>
  </r>
  <r>
    <s v="HOSP-10497"/>
    <s v="Aarav Bose"/>
    <x v="71"/>
    <x v="0"/>
    <x v="6"/>
    <s v="Neurology"/>
    <x v="15"/>
    <d v="2025-08-29T00:00:00"/>
    <d v="2025-09-03T00:00:00"/>
    <s v="Acute Ischemic Stroke"/>
    <s v="tPA Therapy"/>
    <n v="156597.57999999999"/>
    <x v="2"/>
    <x v="4"/>
    <s v="Expired"/>
    <x v="2"/>
  </r>
  <r>
    <s v="HOSP-10498"/>
    <s v="Aditya Iyer"/>
    <x v="71"/>
    <x v="0"/>
    <x v="6"/>
    <s v="Oncology"/>
    <x v="1"/>
    <d v="2025-06-19T00:00:00"/>
    <d v="2025-10-28T00:00:00"/>
    <s v="Breast Carcinoma"/>
    <s v="Chemotherapy &amp; Lumpectomy"/>
    <n v="314197.02"/>
    <x v="5"/>
    <x v="2"/>
    <s v="Expired"/>
    <x v="2"/>
  </r>
  <r>
    <s v="HOSP-10499"/>
    <s v="Rohan Nair"/>
    <x v="10"/>
    <x v="0"/>
    <x v="9"/>
    <s v="Oncology"/>
    <x v="9"/>
    <d v="2025-04-09T00:00:00"/>
    <d v="2025-09-24T00:00:00"/>
    <s v="Breast Carcinoma"/>
    <s v="Chemotherapy &amp; Lumpectomy"/>
    <n v="308766.90999999997"/>
    <x v="4"/>
    <x v="0"/>
    <s v="Admitted"/>
    <x v="0"/>
  </r>
  <r>
    <s v="HOSP-10500"/>
    <s v="Ananya Patel"/>
    <x v="48"/>
    <x v="1"/>
    <x v="7"/>
    <s v="Unknown"/>
    <x v="16"/>
    <d v="2025-08-09T00:00:00"/>
    <d v="2025-08-20T00:00:00"/>
    <s v="Acute Pancreatitis"/>
    <s v="Conservative Management"/>
    <n v="192719.37"/>
    <x v="5"/>
    <x v="4"/>
    <s v="Discharged Against Medical Advice"/>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6CCBC2-9F1B-4033-878B-9996734A4C78}" name="Patients_by_Gender" cacheId="1"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2">
  <location ref="E4:F9" firstHeaderRow="1" firstDataRow="1" firstDataCol="1"/>
  <pivotFields count="16">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1"/>
        <item x="0"/>
        <item x="3"/>
        <item x="2"/>
      </items>
      <extLst>
        <ext xmlns:x14="http://schemas.microsoft.com/office/spreadsheetml/2009/9/main" uri="{2946ED86-A175-432a-8AC1-64E0C546D7DE}">
          <x14:pivotField fillDownLabels="1"/>
        </ext>
      </extLst>
    </pivotField>
    <pivotField compact="0" outline="0" showAll="0" defaultSubtotal="0">
      <items count="14">
        <item x="7"/>
        <item x="3"/>
        <item x="13"/>
        <item x="12"/>
        <item x="11"/>
        <item x="6"/>
        <item x="0"/>
        <item x="4"/>
        <item x="9"/>
        <item x="2"/>
        <item x="10"/>
        <item x="5"/>
        <item x="8"/>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2">
        <item x="2"/>
        <item x="4"/>
        <item x="17"/>
        <item x="18"/>
        <item x="8"/>
        <item x="16"/>
        <item x="19"/>
        <item x="20"/>
        <item x="6"/>
        <item x="15"/>
        <item x="11"/>
        <item x="3"/>
        <item x="7"/>
        <item x="12"/>
        <item x="0"/>
        <item x="13"/>
        <item x="10"/>
        <item x="1"/>
        <item x="21"/>
        <item x="14"/>
        <item x="9"/>
        <item x="5"/>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items count="8">
        <item x="7"/>
        <item x="5"/>
        <item x="2"/>
        <item x="4"/>
        <item x="3"/>
        <item x="1"/>
        <item x="0"/>
        <item x="6"/>
      </items>
      <extLst>
        <ext xmlns:x14="http://schemas.microsoft.com/office/spreadsheetml/2009/9/main" uri="{2946ED86-A175-432a-8AC1-64E0C546D7DE}">
          <x14:pivotField fillDownLabels="1"/>
        </ext>
      </extLst>
    </pivotField>
    <pivotField compact="0" outline="0" showAll="0" defaultSubtotal="0">
      <items count="7">
        <item x="4"/>
        <item x="1"/>
        <item x="3"/>
        <item x="0"/>
        <item x="2"/>
        <item x="5"/>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2"/>
        <item x="0"/>
        <item x="3"/>
        <item x="1"/>
        <item x="4"/>
      </items>
      <extLst>
        <ext xmlns:x14="http://schemas.microsoft.com/office/spreadsheetml/2009/9/main" uri="{2946ED86-A175-432a-8AC1-64E0C546D7DE}">
          <x14:pivotField fillDownLabels="1"/>
        </ext>
      </extLst>
    </pivotField>
  </pivotFields>
  <rowFields count="1">
    <field x="3"/>
  </rowFields>
  <rowItems count="5">
    <i>
      <x/>
    </i>
    <i>
      <x v="1"/>
    </i>
    <i>
      <x v="2"/>
    </i>
    <i>
      <x v="3"/>
    </i>
    <i t="grand">
      <x/>
    </i>
  </rowItems>
  <colItems count="1">
    <i/>
  </colItems>
  <dataFields count="1">
    <dataField name="Patient Count" fld="0" subtotal="count" baseField="0" baseItem="0"/>
  </dataFields>
  <formats count="5">
    <format dxfId="266">
      <pivotArea type="all" dataOnly="0" outline="0" fieldPosition="0"/>
    </format>
    <format dxfId="265">
      <pivotArea outline="0" collapsedLevelsAreSubtotals="1" fieldPosition="0"/>
    </format>
    <format dxfId="264">
      <pivotArea field="3" type="button" dataOnly="0" labelOnly="1" outline="0" axis="axisRow" fieldPosition="0"/>
    </format>
    <format dxfId="263">
      <pivotArea dataOnly="0" labelOnly="1" outline="0" fieldPosition="0">
        <references count="1">
          <reference field="3" count="0"/>
        </references>
      </pivotArea>
    </format>
    <format dxfId="262">
      <pivotArea dataOnly="0" labelOnly="1" outline="0" axis="axisValues" fieldPosition="0"/>
    </format>
  </formats>
  <chartFormats count="1">
    <chartFormat chart="1"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ACE462-18F2-4BB7-B107-8D283619184F}" name="Patients_by_Age_Group" cacheId="1"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2">
  <location ref="A4:B10" firstHeaderRow="1" firstDataRow="1" firstDataCol="1"/>
  <pivotFields count="16">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items count="89">
        <item x="15"/>
        <item x="23"/>
        <item x="48"/>
        <item x="35"/>
        <item x="40"/>
        <item x="47"/>
        <item x="5"/>
        <item x="74"/>
        <item x="8"/>
        <item x="27"/>
        <item x="65"/>
        <item x="2"/>
        <item x="71"/>
        <item x="78"/>
        <item x="28"/>
        <item x="19"/>
        <item x="50"/>
        <item x="33"/>
        <item x="14"/>
        <item x="32"/>
        <item x="38"/>
        <item x="85"/>
        <item x="9"/>
        <item x="20"/>
        <item x="83"/>
        <item x="63"/>
        <item x="61"/>
        <item x="12"/>
        <item x="0"/>
        <item x="82"/>
        <item x="13"/>
        <item x="43"/>
        <item x="11"/>
        <item x="17"/>
        <item x="88"/>
        <item x="10"/>
        <item x="46"/>
        <item x="42"/>
        <item x="18"/>
        <item x="79"/>
        <item x="49"/>
        <item x="70"/>
        <item x="3"/>
        <item x="51"/>
        <item x="6"/>
        <item x="67"/>
        <item x="59"/>
        <item x="36"/>
        <item x="62"/>
        <item x="57"/>
        <item x="81"/>
        <item x="52"/>
        <item x="4"/>
        <item x="64"/>
        <item x="31"/>
        <item x="1"/>
        <item x="41"/>
        <item x="66"/>
        <item x="54"/>
        <item x="34"/>
        <item x="22"/>
        <item x="68"/>
        <item x="39"/>
        <item x="30"/>
        <item x="84"/>
        <item x="25"/>
        <item x="29"/>
        <item x="72"/>
        <item x="58"/>
        <item x="87"/>
        <item x="77"/>
        <item x="37"/>
        <item x="44"/>
        <item x="26"/>
        <item x="75"/>
        <item x="69"/>
        <item x="53"/>
        <item x="45"/>
        <item x="16"/>
        <item x="24"/>
        <item x="80"/>
        <item x="21"/>
        <item x="7"/>
        <item x="60"/>
        <item x="76"/>
        <item x="56"/>
        <item x="86"/>
        <item x="55"/>
        <item x="73"/>
      </items>
      <extLst>
        <ext xmlns:x14="http://schemas.microsoft.com/office/spreadsheetml/2009/9/main" uri="{2946ED86-A175-432a-8AC1-64E0C546D7DE}">
          <x14:pivotField fillDownLabels="1"/>
        </ext>
      </extLst>
    </pivotField>
    <pivotField compact="0" outline="0" showAll="0" defaultSubtotal="0">
      <items count="4">
        <item x="1"/>
        <item x="0"/>
        <item x="3"/>
        <item x="2"/>
      </items>
      <extLst>
        <ext xmlns:x14="http://schemas.microsoft.com/office/spreadsheetml/2009/9/main" uri="{2946ED86-A175-432a-8AC1-64E0C546D7DE}">
          <x14:pivotField fillDownLabels="1"/>
        </ext>
      </extLst>
    </pivotField>
    <pivotField compact="0" outline="0" showAll="0" defaultSubtotal="0">
      <items count="14">
        <item x="7"/>
        <item x="3"/>
        <item x="13"/>
        <item x="12"/>
        <item x="11"/>
        <item x="6"/>
        <item x="0"/>
        <item x="4"/>
        <item x="9"/>
        <item x="2"/>
        <item x="10"/>
        <item x="5"/>
        <item x="8"/>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2">
        <item x="2"/>
        <item x="4"/>
        <item x="17"/>
        <item x="18"/>
        <item x="8"/>
        <item x="16"/>
        <item x="19"/>
        <item x="20"/>
        <item x="6"/>
        <item x="15"/>
        <item x="11"/>
        <item x="3"/>
        <item x="7"/>
        <item x="12"/>
        <item x="0"/>
        <item x="13"/>
        <item x="10"/>
        <item x="1"/>
        <item x="21"/>
        <item x="14"/>
        <item x="9"/>
        <item x="5"/>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items count="8">
        <item x="7"/>
        <item x="5"/>
        <item x="2"/>
        <item x="4"/>
        <item x="3"/>
        <item x="1"/>
        <item x="0"/>
        <item x="6"/>
      </items>
      <extLst>
        <ext xmlns:x14="http://schemas.microsoft.com/office/spreadsheetml/2009/9/main" uri="{2946ED86-A175-432a-8AC1-64E0C546D7DE}">
          <x14:pivotField fillDownLabels="1"/>
        </ext>
      </extLst>
    </pivotField>
    <pivotField compact="0" outline="0" showAll="0" defaultSubtotal="0">
      <items count="7">
        <item x="4"/>
        <item x="1"/>
        <item x="3"/>
        <item x="0"/>
        <item x="2"/>
        <item x="5"/>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2"/>
        <item x="0"/>
        <item x="3"/>
        <item x="1"/>
        <item x="4"/>
      </items>
      <extLst>
        <ext xmlns:x14="http://schemas.microsoft.com/office/spreadsheetml/2009/9/main" uri="{2946ED86-A175-432a-8AC1-64E0C546D7DE}">
          <x14:pivotField fillDownLabels="1"/>
        </ext>
      </extLst>
    </pivotField>
  </pivotFields>
  <rowFields count="1">
    <field x="15"/>
  </rowFields>
  <rowItems count="6">
    <i>
      <x/>
    </i>
    <i>
      <x v="1"/>
    </i>
    <i>
      <x v="2"/>
    </i>
    <i>
      <x v="3"/>
    </i>
    <i>
      <x v="4"/>
    </i>
    <i t="grand">
      <x/>
    </i>
  </rowItems>
  <colItems count="1">
    <i/>
  </colItems>
  <dataFields count="1">
    <dataField name="Patient Count" fld="0" subtotal="count" baseField="0" baseItem="0"/>
  </dataFields>
  <formats count="5">
    <format dxfId="271">
      <pivotArea type="all" dataOnly="0" outline="0" fieldPosition="0"/>
    </format>
    <format dxfId="270">
      <pivotArea outline="0" collapsedLevelsAreSubtotals="1" fieldPosition="0"/>
    </format>
    <format dxfId="269">
      <pivotArea field="15" type="button" dataOnly="0" labelOnly="1" outline="0" axis="axisRow" fieldPosition="0"/>
    </format>
    <format dxfId="268">
      <pivotArea dataOnly="0" labelOnly="1" outline="0" fieldPosition="0">
        <references count="1">
          <reference field="15" count="0"/>
        </references>
      </pivotArea>
    </format>
    <format dxfId="267">
      <pivotArea dataOnly="0" labelOnly="1" outline="0" axis="axisValues" fieldPosition="0"/>
    </format>
  </formats>
  <chartFormats count="1">
    <chartFormat chart="1"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D268FB-5705-493A-AD49-2DF2149122AE}" name="Patients_by_Payment_Status" cacheId="1"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2">
  <location ref="I24:J32" firstHeaderRow="1" firstDataRow="1" firstDataCol="1"/>
  <pivotFields count="16">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items count="4">
        <item x="1"/>
        <item x="0"/>
        <item x="3"/>
        <item x="2"/>
      </items>
      <extLst>
        <ext xmlns:x14="http://schemas.microsoft.com/office/spreadsheetml/2009/9/main" uri="{2946ED86-A175-432a-8AC1-64E0C546D7DE}">
          <x14:pivotField fillDownLabels="1"/>
        </ext>
      </extLst>
    </pivotField>
    <pivotField compact="0" outline="0" showAll="0" defaultSubtotal="0">
      <items count="14">
        <item x="7"/>
        <item x="3"/>
        <item x="13"/>
        <item x="12"/>
        <item x="11"/>
        <item x="6"/>
        <item x="0"/>
        <item x="4"/>
        <item x="9"/>
        <item x="2"/>
        <item x="10"/>
        <item x="5"/>
        <item x="8"/>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2">
        <item x="2"/>
        <item x="4"/>
        <item x="17"/>
        <item x="18"/>
        <item x="8"/>
        <item x="16"/>
        <item x="19"/>
        <item x="20"/>
        <item x="6"/>
        <item x="15"/>
        <item x="11"/>
        <item x="3"/>
        <item x="7"/>
        <item x="12"/>
        <item x="0"/>
        <item x="13"/>
        <item x="10"/>
        <item x="1"/>
        <item x="21"/>
        <item x="14"/>
        <item x="9"/>
        <item x="5"/>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items count="8">
        <item x="7"/>
        <item x="5"/>
        <item x="2"/>
        <item x="4"/>
        <item x="3"/>
        <item x="1"/>
        <item x="0"/>
        <item x="6"/>
      </items>
      <extLst>
        <ext xmlns:x14="http://schemas.microsoft.com/office/spreadsheetml/2009/9/main" uri="{2946ED86-A175-432a-8AC1-64E0C546D7DE}">
          <x14:pivotField fillDownLabels="1"/>
        </ext>
      </extLst>
    </pivotField>
    <pivotField axis="axisRow" compact="0" outline="0" showAll="0" defaultSubtotal="0">
      <items count="7">
        <item x="4"/>
        <item x="1"/>
        <item x="3"/>
        <item x="0"/>
        <item x="2"/>
        <item x="5"/>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2"/>
        <item x="0"/>
        <item x="3"/>
        <item x="1"/>
        <item x="4"/>
      </items>
      <extLst>
        <ext xmlns:x14="http://schemas.microsoft.com/office/spreadsheetml/2009/9/main" uri="{2946ED86-A175-432a-8AC1-64E0C546D7DE}">
          <x14:pivotField fillDownLabels="1"/>
        </ext>
      </extLst>
    </pivotField>
  </pivotFields>
  <rowFields count="1">
    <field x="13"/>
  </rowFields>
  <rowItems count="8">
    <i>
      <x/>
    </i>
    <i>
      <x v="1"/>
    </i>
    <i>
      <x v="2"/>
    </i>
    <i>
      <x v="3"/>
    </i>
    <i>
      <x v="4"/>
    </i>
    <i>
      <x v="5"/>
    </i>
    <i>
      <x v="6"/>
    </i>
    <i t="grand">
      <x/>
    </i>
  </rowItems>
  <colItems count="1">
    <i/>
  </colItems>
  <dataFields count="1">
    <dataField name="Patient Count" fld="0" subtotal="count" baseField="0" baseItem="0" numFmtId="1"/>
  </dataFields>
  <formats count="1">
    <format dxfId="272">
      <pivotArea outline="0" collapsedLevelsAreSubtotals="1" fieldPosition="0"/>
    </format>
  </formats>
  <chartFormats count="1">
    <chartFormat chart="1"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4D0F25-86FB-42F3-9FDA-449673D75D17}" name="Patients_by_Insurance" cacheId="1"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2">
  <location ref="E24:F33" firstHeaderRow="1" firstDataRow="1" firstDataCol="1"/>
  <pivotFields count="16">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items count="4">
        <item x="1"/>
        <item x="0"/>
        <item x="3"/>
        <item x="2"/>
      </items>
      <extLst>
        <ext xmlns:x14="http://schemas.microsoft.com/office/spreadsheetml/2009/9/main" uri="{2946ED86-A175-432a-8AC1-64E0C546D7DE}">
          <x14:pivotField fillDownLabels="1"/>
        </ext>
      </extLst>
    </pivotField>
    <pivotField compact="0" outline="0" showAll="0" defaultSubtotal="0">
      <items count="14">
        <item x="7"/>
        <item x="3"/>
        <item x="13"/>
        <item x="12"/>
        <item x="11"/>
        <item x="6"/>
        <item x="0"/>
        <item x="4"/>
        <item x="9"/>
        <item x="2"/>
        <item x="10"/>
        <item x="5"/>
        <item x="8"/>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2">
        <item x="2"/>
        <item x="4"/>
        <item x="17"/>
        <item x="18"/>
        <item x="8"/>
        <item x="16"/>
        <item x="19"/>
        <item x="20"/>
        <item x="6"/>
        <item x="15"/>
        <item x="11"/>
        <item x="3"/>
        <item x="7"/>
        <item x="12"/>
        <item x="0"/>
        <item x="13"/>
        <item x="10"/>
        <item x="1"/>
        <item x="21"/>
        <item x="14"/>
        <item x="9"/>
        <item x="5"/>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axis="axisRow" compact="0" outline="0" showAll="0" defaultSubtotal="0">
      <items count="8">
        <item x="7"/>
        <item x="5"/>
        <item x="2"/>
        <item x="4"/>
        <item x="3"/>
        <item x="1"/>
        <item x="0"/>
        <item x="6"/>
      </items>
      <extLst>
        <ext xmlns:x14="http://schemas.microsoft.com/office/spreadsheetml/2009/9/main" uri="{2946ED86-A175-432a-8AC1-64E0C546D7DE}">
          <x14:pivotField fillDownLabels="1"/>
        </ext>
      </extLst>
    </pivotField>
    <pivotField compact="0" outline="0" showAll="0" defaultSubtotal="0">
      <items count="7">
        <item x="4"/>
        <item x="1"/>
        <item x="3"/>
        <item x="0"/>
        <item x="2"/>
        <item x="5"/>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2"/>
        <item x="0"/>
        <item x="3"/>
        <item x="1"/>
        <item x="4"/>
      </items>
      <extLst>
        <ext xmlns:x14="http://schemas.microsoft.com/office/spreadsheetml/2009/9/main" uri="{2946ED86-A175-432a-8AC1-64E0C546D7DE}">
          <x14:pivotField fillDownLabels="1"/>
        </ext>
      </extLst>
    </pivotField>
  </pivotFields>
  <rowFields count="1">
    <field x="12"/>
  </rowFields>
  <rowItems count="9">
    <i>
      <x/>
    </i>
    <i>
      <x v="1"/>
    </i>
    <i>
      <x v="2"/>
    </i>
    <i>
      <x v="3"/>
    </i>
    <i>
      <x v="4"/>
    </i>
    <i>
      <x v="5"/>
    </i>
    <i>
      <x v="6"/>
    </i>
    <i>
      <x v="7"/>
    </i>
    <i t="grand">
      <x/>
    </i>
  </rowItems>
  <colItems count="1">
    <i/>
  </colItems>
  <dataFields count="1">
    <dataField name="Patient Count" fld="0" subtotal="count" baseField="0" baseItem="0" numFmtId="1"/>
  </dataFields>
  <formats count="1">
    <format dxfId="273">
      <pivotArea outline="0" collapsedLevelsAreSubtotals="1" fieldPosition="0"/>
    </format>
  </formats>
  <chartFormats count="1">
    <chartFormat chart="1"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052AFE-5A64-44F2-89F3-6A4FAD137B66}" name="Operations_by_Doctor" cacheId="1"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2">
  <location ref="A24:B47" firstHeaderRow="1" firstDataRow="1" firstDataCol="1"/>
  <pivotFields count="16">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items count="4">
        <item x="1"/>
        <item x="0"/>
        <item x="3"/>
        <item x="2"/>
      </items>
      <extLst>
        <ext xmlns:x14="http://schemas.microsoft.com/office/spreadsheetml/2009/9/main" uri="{2946ED86-A175-432a-8AC1-64E0C546D7DE}">
          <x14:pivotField fillDownLabels="1"/>
        </ext>
      </extLst>
    </pivotField>
    <pivotField compact="0" outline="0" showAll="0" defaultSubtotal="0">
      <items count="14">
        <item x="7"/>
        <item x="3"/>
        <item x="13"/>
        <item x="12"/>
        <item x="11"/>
        <item x="6"/>
        <item x="0"/>
        <item x="4"/>
        <item x="9"/>
        <item x="2"/>
        <item x="10"/>
        <item x="5"/>
        <item x="8"/>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2">
        <item x="2"/>
        <item x="4"/>
        <item x="17"/>
        <item x="18"/>
        <item x="8"/>
        <item x="16"/>
        <item x="19"/>
        <item x="20"/>
        <item x="6"/>
        <item x="15"/>
        <item x="11"/>
        <item x="3"/>
        <item x="7"/>
        <item x="12"/>
        <item x="0"/>
        <item x="13"/>
        <item x="10"/>
        <item x="1"/>
        <item x="21"/>
        <item x="14"/>
        <item x="9"/>
        <item x="5"/>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items count="8">
        <item x="7"/>
        <item x="5"/>
        <item x="2"/>
        <item x="4"/>
        <item x="3"/>
        <item x="1"/>
        <item x="0"/>
        <item x="6"/>
      </items>
      <extLst>
        <ext xmlns:x14="http://schemas.microsoft.com/office/spreadsheetml/2009/9/main" uri="{2946ED86-A175-432a-8AC1-64E0C546D7DE}">
          <x14:pivotField fillDownLabels="1"/>
        </ext>
      </extLst>
    </pivotField>
    <pivotField compact="0" outline="0" showAll="0" defaultSubtotal="0">
      <items count="7">
        <item x="4"/>
        <item x="1"/>
        <item x="3"/>
        <item x="0"/>
        <item x="2"/>
        <item x="5"/>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2"/>
        <item x="0"/>
        <item x="3"/>
        <item x="1"/>
        <item x="4"/>
      </items>
      <extLst>
        <ext xmlns:x14="http://schemas.microsoft.com/office/spreadsheetml/2009/9/main" uri="{2946ED86-A175-432a-8AC1-64E0C546D7DE}">
          <x14:pivotField fillDownLabels="1"/>
        </ext>
      </extLst>
    </pivotField>
  </pivotFields>
  <rowFields count="1">
    <field x="6"/>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Operation Count" fld="0" subtotal="count" baseField="0" baseItem="0" numFmtId="1"/>
  </dataFields>
  <formats count="1">
    <format dxfId="274">
      <pivotArea outline="0" collapsedLevelsAreSubtotals="1" fieldPosition="0"/>
    </format>
  </formats>
  <chartFormats count="23">
    <chartFormat chart="1" format="24" series="1">
      <pivotArea type="data" outline="0" fieldPosition="0">
        <references count="1">
          <reference field="4294967294" count="1" selected="0">
            <x v="0"/>
          </reference>
        </references>
      </pivotArea>
    </chartFormat>
    <chartFormat chart="1" format="25">
      <pivotArea type="data" outline="0" fieldPosition="0">
        <references count="2">
          <reference field="4294967294" count="1" selected="0">
            <x v="0"/>
          </reference>
          <reference field="6" count="1" selected="0">
            <x v="0"/>
          </reference>
        </references>
      </pivotArea>
    </chartFormat>
    <chartFormat chart="1" format="26">
      <pivotArea type="data" outline="0" fieldPosition="0">
        <references count="2">
          <reference field="4294967294" count="1" selected="0">
            <x v="0"/>
          </reference>
          <reference field="6" count="1" selected="0">
            <x v="1"/>
          </reference>
        </references>
      </pivotArea>
    </chartFormat>
    <chartFormat chart="1" format="27">
      <pivotArea type="data" outline="0" fieldPosition="0">
        <references count="2">
          <reference field="4294967294" count="1" selected="0">
            <x v="0"/>
          </reference>
          <reference field="6" count="1" selected="0">
            <x v="2"/>
          </reference>
        </references>
      </pivotArea>
    </chartFormat>
    <chartFormat chart="1" format="28">
      <pivotArea type="data" outline="0" fieldPosition="0">
        <references count="2">
          <reference field="4294967294" count="1" selected="0">
            <x v="0"/>
          </reference>
          <reference field="6" count="1" selected="0">
            <x v="3"/>
          </reference>
        </references>
      </pivotArea>
    </chartFormat>
    <chartFormat chart="1" format="29">
      <pivotArea type="data" outline="0" fieldPosition="0">
        <references count="2">
          <reference field="4294967294" count="1" selected="0">
            <x v="0"/>
          </reference>
          <reference field="6" count="1" selected="0">
            <x v="4"/>
          </reference>
        </references>
      </pivotArea>
    </chartFormat>
    <chartFormat chart="1" format="30">
      <pivotArea type="data" outline="0" fieldPosition="0">
        <references count="2">
          <reference field="4294967294" count="1" selected="0">
            <x v="0"/>
          </reference>
          <reference field="6" count="1" selected="0">
            <x v="5"/>
          </reference>
        </references>
      </pivotArea>
    </chartFormat>
    <chartFormat chart="1" format="31">
      <pivotArea type="data" outline="0" fieldPosition="0">
        <references count="2">
          <reference field="4294967294" count="1" selected="0">
            <x v="0"/>
          </reference>
          <reference field="6" count="1" selected="0">
            <x v="6"/>
          </reference>
        </references>
      </pivotArea>
    </chartFormat>
    <chartFormat chart="1" format="32">
      <pivotArea type="data" outline="0" fieldPosition="0">
        <references count="2">
          <reference field="4294967294" count="1" selected="0">
            <x v="0"/>
          </reference>
          <reference field="6" count="1" selected="0">
            <x v="7"/>
          </reference>
        </references>
      </pivotArea>
    </chartFormat>
    <chartFormat chart="1" format="33">
      <pivotArea type="data" outline="0" fieldPosition="0">
        <references count="2">
          <reference field="4294967294" count="1" selected="0">
            <x v="0"/>
          </reference>
          <reference field="6" count="1" selected="0">
            <x v="8"/>
          </reference>
        </references>
      </pivotArea>
    </chartFormat>
    <chartFormat chart="1" format="34">
      <pivotArea type="data" outline="0" fieldPosition="0">
        <references count="2">
          <reference field="4294967294" count="1" selected="0">
            <x v="0"/>
          </reference>
          <reference field="6" count="1" selected="0">
            <x v="9"/>
          </reference>
        </references>
      </pivotArea>
    </chartFormat>
    <chartFormat chart="1" format="35">
      <pivotArea type="data" outline="0" fieldPosition="0">
        <references count="2">
          <reference field="4294967294" count="1" selected="0">
            <x v="0"/>
          </reference>
          <reference field="6" count="1" selected="0">
            <x v="10"/>
          </reference>
        </references>
      </pivotArea>
    </chartFormat>
    <chartFormat chart="1" format="36">
      <pivotArea type="data" outline="0" fieldPosition="0">
        <references count="2">
          <reference field="4294967294" count="1" selected="0">
            <x v="0"/>
          </reference>
          <reference field="6" count="1" selected="0">
            <x v="11"/>
          </reference>
        </references>
      </pivotArea>
    </chartFormat>
    <chartFormat chart="1" format="37">
      <pivotArea type="data" outline="0" fieldPosition="0">
        <references count="2">
          <reference field="4294967294" count="1" selected="0">
            <x v="0"/>
          </reference>
          <reference field="6" count="1" selected="0">
            <x v="12"/>
          </reference>
        </references>
      </pivotArea>
    </chartFormat>
    <chartFormat chart="1" format="38">
      <pivotArea type="data" outline="0" fieldPosition="0">
        <references count="2">
          <reference field="4294967294" count="1" selected="0">
            <x v="0"/>
          </reference>
          <reference field="6" count="1" selected="0">
            <x v="13"/>
          </reference>
        </references>
      </pivotArea>
    </chartFormat>
    <chartFormat chart="1" format="39">
      <pivotArea type="data" outline="0" fieldPosition="0">
        <references count="2">
          <reference field="4294967294" count="1" selected="0">
            <x v="0"/>
          </reference>
          <reference field="6" count="1" selected="0">
            <x v="14"/>
          </reference>
        </references>
      </pivotArea>
    </chartFormat>
    <chartFormat chart="1" format="40">
      <pivotArea type="data" outline="0" fieldPosition="0">
        <references count="2">
          <reference field="4294967294" count="1" selected="0">
            <x v="0"/>
          </reference>
          <reference field="6" count="1" selected="0">
            <x v="15"/>
          </reference>
        </references>
      </pivotArea>
    </chartFormat>
    <chartFormat chart="1" format="41">
      <pivotArea type="data" outline="0" fieldPosition="0">
        <references count="2">
          <reference field="4294967294" count="1" selected="0">
            <x v="0"/>
          </reference>
          <reference field="6" count="1" selected="0">
            <x v="16"/>
          </reference>
        </references>
      </pivotArea>
    </chartFormat>
    <chartFormat chart="1" format="42">
      <pivotArea type="data" outline="0" fieldPosition="0">
        <references count="2">
          <reference field="4294967294" count="1" selected="0">
            <x v="0"/>
          </reference>
          <reference field="6" count="1" selected="0">
            <x v="17"/>
          </reference>
        </references>
      </pivotArea>
    </chartFormat>
    <chartFormat chart="1" format="43">
      <pivotArea type="data" outline="0" fieldPosition="0">
        <references count="2">
          <reference field="4294967294" count="1" selected="0">
            <x v="0"/>
          </reference>
          <reference field="6" count="1" selected="0">
            <x v="18"/>
          </reference>
        </references>
      </pivotArea>
    </chartFormat>
    <chartFormat chart="1" format="44">
      <pivotArea type="data" outline="0" fieldPosition="0">
        <references count="2">
          <reference field="4294967294" count="1" selected="0">
            <x v="0"/>
          </reference>
          <reference field="6" count="1" selected="0">
            <x v="19"/>
          </reference>
        </references>
      </pivotArea>
    </chartFormat>
    <chartFormat chart="1" format="45">
      <pivotArea type="data" outline="0" fieldPosition="0">
        <references count="2">
          <reference field="4294967294" count="1" selected="0">
            <x v="0"/>
          </reference>
          <reference field="6" count="1" selected="0">
            <x v="20"/>
          </reference>
        </references>
      </pivotArea>
    </chartFormat>
    <chartFormat chart="1" format="46">
      <pivotArea type="data" outline="0" fieldPosition="0">
        <references count="2">
          <reference field="4294967294" count="1" selected="0">
            <x v="0"/>
          </reference>
          <reference field="6" count="1" selected="0">
            <x v="2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40A5DD-16E2-45C0-93A1-BEC4CDDA55FB}" name="Billings_by_City" cacheId="1" applyNumberFormats="0" applyBorderFormats="0" applyFontFormats="0" applyPatternFormats="0" applyAlignmentFormats="0" applyWidthHeightFormats="1" dataCaption="Values" updatedVersion="8" minRefreshableVersion="3" colGrandTotals="0" itemPrintTitles="1" createdVersion="8" indent="0" compact="0" compactData="0" multipleFieldFilters="0" chartFormat="2">
  <location ref="I4:J19" firstHeaderRow="1" firstDataRow="1" firstDataCol="1"/>
  <pivotFields count="16">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items count="4">
        <item x="1"/>
        <item x="0"/>
        <item x="3"/>
        <item x="2"/>
      </items>
      <extLst>
        <ext xmlns:x14="http://schemas.microsoft.com/office/spreadsheetml/2009/9/main" uri="{2946ED86-A175-432a-8AC1-64E0C546D7DE}">
          <x14:pivotField fillDownLabels="1"/>
        </ext>
      </extLst>
    </pivotField>
    <pivotField axis="axisRow" compact="0" outline="0" showAll="0" defaultSubtotal="0">
      <items count="14">
        <item x="7"/>
        <item x="3"/>
        <item x="13"/>
        <item x="12"/>
        <item x="11"/>
        <item x="6"/>
        <item x="0"/>
        <item x="4"/>
        <item x="9"/>
        <item x="2"/>
        <item x="10"/>
        <item x="5"/>
        <item x="8"/>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2">
        <item x="2"/>
        <item x="4"/>
        <item x="17"/>
        <item x="18"/>
        <item x="8"/>
        <item x="16"/>
        <item x="19"/>
        <item x="20"/>
        <item x="6"/>
        <item x="15"/>
        <item x="11"/>
        <item x="3"/>
        <item x="7"/>
        <item x="12"/>
        <item x="0"/>
        <item x="13"/>
        <item x="10"/>
        <item x="1"/>
        <item x="21"/>
        <item x="14"/>
        <item x="9"/>
        <item x="5"/>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64" outline="0" showAll="0" defaultSubtotal="0">
      <extLst>
        <ext xmlns:x14="http://schemas.microsoft.com/office/spreadsheetml/2009/9/main" uri="{2946ED86-A175-432a-8AC1-64E0C546D7DE}">
          <x14:pivotField fillDownLabels="1"/>
        </ext>
      </extLst>
    </pivotField>
    <pivotField compact="0" outline="0" showAll="0" defaultSubtotal="0">
      <items count="8">
        <item x="7"/>
        <item x="5"/>
        <item x="2"/>
        <item x="4"/>
        <item x="3"/>
        <item x="1"/>
        <item x="0"/>
        <item x="6"/>
      </items>
      <extLst>
        <ext xmlns:x14="http://schemas.microsoft.com/office/spreadsheetml/2009/9/main" uri="{2946ED86-A175-432a-8AC1-64E0C546D7DE}">
          <x14:pivotField fillDownLabels="1"/>
        </ext>
      </extLst>
    </pivotField>
    <pivotField compact="0" outline="0" showAll="0" defaultSubtotal="0">
      <items count="7">
        <item x="4"/>
        <item x="1"/>
        <item x="3"/>
        <item x="0"/>
        <item x="2"/>
        <item x="5"/>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2"/>
        <item x="0"/>
        <item x="3"/>
        <item x="1"/>
        <item x="4"/>
      </items>
      <extLst>
        <ext xmlns:x14="http://schemas.microsoft.com/office/spreadsheetml/2009/9/main" uri="{2946ED86-A175-432a-8AC1-64E0C546D7DE}">
          <x14:pivotField fillDownLabels="1"/>
        </ext>
      </extLst>
    </pivotField>
  </pivotFields>
  <rowFields count="1">
    <field x="4"/>
  </rowFields>
  <rowItems count="15">
    <i>
      <x/>
    </i>
    <i>
      <x v="1"/>
    </i>
    <i>
      <x v="2"/>
    </i>
    <i>
      <x v="3"/>
    </i>
    <i>
      <x v="4"/>
    </i>
    <i>
      <x v="5"/>
    </i>
    <i>
      <x v="6"/>
    </i>
    <i>
      <x v="7"/>
    </i>
    <i>
      <x v="8"/>
    </i>
    <i>
      <x v="9"/>
    </i>
    <i>
      <x v="10"/>
    </i>
    <i>
      <x v="11"/>
    </i>
    <i>
      <x v="12"/>
    </i>
    <i>
      <x v="13"/>
    </i>
    <i t="grand">
      <x/>
    </i>
  </rowItems>
  <colItems count="1">
    <i/>
  </colItems>
  <dataFields count="1">
    <dataField name="Total Bill Amount" fld="11" baseField="0" baseItem="0" numFmtId="165"/>
  </dataFields>
  <formats count="6">
    <format dxfId="280">
      <pivotArea type="all" dataOnly="0" outline="0" fieldPosition="0"/>
    </format>
    <format dxfId="279">
      <pivotArea outline="0" collapsedLevelsAreSubtotals="1" fieldPosition="0"/>
    </format>
    <format dxfId="278">
      <pivotArea field="4" type="button" dataOnly="0" labelOnly="1" outline="0" axis="axisRow" fieldPosition="0"/>
    </format>
    <format dxfId="277">
      <pivotArea dataOnly="0" labelOnly="1" outline="0" fieldPosition="0">
        <references count="1">
          <reference field="4" count="0"/>
        </references>
      </pivotArea>
    </format>
    <format dxfId="276">
      <pivotArea dataOnly="0" labelOnly="1" outline="0" axis="axisValues" fieldPosition="0"/>
    </format>
    <format dxfId="275">
      <pivotArea outline="0" collapsedLevelsAreSubtotals="1" fieldPosition="0"/>
    </format>
  </formats>
  <chartFormats count="1">
    <chartFormat chart="1"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51C56ABE-4570-4061-A2E2-7C883244337B}" autoFormatId="16" applyNumberFormats="0" applyBorderFormats="0" applyFontFormats="0" applyPatternFormats="0" applyAlignmentFormats="0" applyWidthHeightFormats="0">
  <queryTableRefresh nextId="16">
    <queryTableFields count="15">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9A5F7196-DA27-4505-89D6-7C531337519C}" autoFormatId="16" applyNumberFormats="0" applyBorderFormats="0" applyFontFormats="0" applyPatternFormats="0" applyAlignmentFormats="0" applyWidthHeightFormats="0">
  <queryTableRefresh nextId="17" unboundColumnsRight="1">
    <queryTableFields count="16">
      <queryTableField id="1" name="Patient_ID" tableColumnId="1"/>
      <queryTableField id="2" name="Patient_Name" tableColumnId="2"/>
      <queryTableField id="3" name="Age" tableColumnId="3"/>
      <queryTableField id="4" name="Gender" tableColumnId="4"/>
      <queryTableField id="5" name="City" tableColumnId="5"/>
      <queryTableField id="6" name="Department" tableColumnId="6"/>
      <queryTableField id="7" name="Doctor" tableColumnId="7"/>
      <queryTableField id="8" name="Admission_Date" tableColumnId="8"/>
      <queryTableField id="9" name="Discharge_Date" tableColumnId="9"/>
      <queryTableField id="10" name="Diagnosis" tableColumnId="10"/>
      <queryTableField id="11" name="Treatment" tableColumnId="11"/>
      <queryTableField id="12" name="Bill_Amount" tableColumnId="12"/>
      <queryTableField id="13" name="Insurance" tableColumnId="13"/>
      <queryTableField id="14" name="Payment_Status" tableColumnId="14"/>
      <queryTableField id="15" name="Patient_Status" tableColumnId="15"/>
      <queryTableField id="16" dataBound="0"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FBC8B22-9EA7-42B0-8F46-C6DBF979AC7D}" sourceName="City">
  <pivotTables>
    <pivotTable tabId="4" name="Billings_by_City"/>
    <pivotTable tabId="4" name="Operations_by_Doctor"/>
    <pivotTable tabId="4" name="Patients_by_Age_Group"/>
    <pivotTable tabId="4" name="Patients_by_Gender"/>
    <pivotTable tabId="4" name="Patients_by_Insurance"/>
    <pivotTable tabId="4" name="Patients_by_Payment_Status"/>
  </pivotTables>
  <data>
    <tabular pivotCacheId="2009709124">
      <items count="14">
        <i x="7" s="1"/>
        <i x="3" s="1"/>
        <i x="13" s="1"/>
        <i x="12" s="1"/>
        <i x="11" s="1"/>
        <i x="6" s="1"/>
        <i x="0" s="1"/>
        <i x="4" s="1"/>
        <i x="9" s="1"/>
        <i x="2" s="1"/>
        <i x="10" s="1"/>
        <i x="5" s="1"/>
        <i x="8"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A720FA5B-BAAE-4438-99A9-44F30730C93D}" sourceName="Age_Group">
  <pivotTables>
    <pivotTable tabId="4" name="Patients_by_Age_Group"/>
    <pivotTable tabId="4" name="Billings_by_City"/>
    <pivotTable tabId="4" name="Operations_by_Doctor"/>
    <pivotTable tabId="4" name="Patients_by_Gender"/>
    <pivotTable tabId="4" name="Patients_by_Insurance"/>
    <pivotTable tabId="4" name="Patients_by_Payment_Status"/>
  </pivotTables>
  <data>
    <tabular pivotCacheId="2009709124">
      <items count="5">
        <i x="2" s="1"/>
        <i x="0" s="1"/>
        <i x="3"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 xr10:uid="{D09D9715-3FA6-4A13-9597-8D1B51A10DFC}" sourceName="Doctor">
  <pivotTables>
    <pivotTable tabId="4" name="Operations_by_Doctor"/>
    <pivotTable tabId="4" name="Billings_by_City"/>
    <pivotTable tabId="4" name="Patients_by_Age_Group"/>
    <pivotTable tabId="4" name="Patients_by_Gender"/>
    <pivotTable tabId="4" name="Patients_by_Insurance"/>
    <pivotTable tabId="4" name="Patients_by_Payment_Status"/>
  </pivotTables>
  <data>
    <tabular pivotCacheId="2009709124">
      <items count="22">
        <i x="2" s="1"/>
        <i x="4" s="1"/>
        <i x="17" s="1"/>
        <i x="18" s="1"/>
        <i x="8" s="1"/>
        <i x="16" s="1"/>
        <i x="19" s="1"/>
        <i x="20" s="1"/>
        <i x="6" s="1"/>
        <i x="15" s="1"/>
        <i x="11" s="1"/>
        <i x="3" s="1"/>
        <i x="7" s="1"/>
        <i x="12" s="1"/>
        <i x="0" s="1"/>
        <i x="13" s="1"/>
        <i x="10" s="1"/>
        <i x="1" s="1"/>
        <i x="21" s="1"/>
        <i x="14" s="1"/>
        <i x="9"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F029D23B-6DDA-4AB6-BA7A-848302DC6CD8}" sourceName="Payment_Status">
  <pivotTables>
    <pivotTable tabId="4" name="Patients_by_Payment_Status"/>
    <pivotTable tabId="4" name="Billings_by_City"/>
    <pivotTable tabId="4" name="Operations_by_Doctor"/>
    <pivotTable tabId="4" name="Patients_by_Age_Group"/>
    <pivotTable tabId="4" name="Patients_by_Gender"/>
    <pivotTable tabId="4" name="Patients_by_Insurance"/>
  </pivotTables>
  <data>
    <tabular pivotCacheId="2009709124">
      <items count="7">
        <i x="4" s="1"/>
        <i x="1" s="1"/>
        <i x="3" s="1"/>
        <i x="0" s="1"/>
        <i x="2" s="1"/>
        <i x="5"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3A7DE1C-645E-43A9-AEE9-041E84BA4AA6}" sourceName="Gender">
  <pivotTables>
    <pivotTable tabId="4" name="Patients_by_Gender"/>
    <pivotTable tabId="4" name="Billings_by_City"/>
    <pivotTable tabId="4" name="Operations_by_Doctor"/>
    <pivotTable tabId="4" name="Patients_by_Age_Group"/>
    <pivotTable tabId="4" name="Patients_by_Insurance"/>
    <pivotTable tabId="4" name="Patients_by_Payment_Status"/>
  </pivotTables>
  <data>
    <tabular pivotCacheId="2009709124">
      <items count="4">
        <i x="1" s="1"/>
        <i x="0" s="1"/>
        <i x="3"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 xr10:uid="{8FEC6789-9C8F-40E0-AF4A-E4C1C81078C0}" sourceName="Insurance">
  <pivotTables>
    <pivotTable tabId="4" name="Patients_by_Insurance"/>
    <pivotTable tabId="4" name="Billings_by_City"/>
    <pivotTable tabId="4" name="Operations_by_Doctor"/>
    <pivotTable tabId="4" name="Patients_by_Age_Group"/>
    <pivotTable tabId="4" name="Patients_by_Gender"/>
    <pivotTable tabId="4" name="Patients_by_Payment_Status"/>
  </pivotTables>
  <data>
    <tabular pivotCacheId="2009709124">
      <items count="8">
        <i x="7" s="1"/>
        <i x="5" s="1"/>
        <i x="2" s="1"/>
        <i x="4" s="1"/>
        <i x="3"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A9D73BA4-B9BD-4891-A746-C11D3DCB4ABF}" cache="Slicer_City" caption="City" rowHeight="247650"/>
  <slicer name="Age_Group" xr10:uid="{734C7582-E470-4769-A04B-AEC2C987716B}" cache="Slicer_Age_Group" caption="Age_Group" rowHeight="247650"/>
  <slicer name="Doctor" xr10:uid="{6DDB4887-5D22-49E0-846F-6E051E90E756}" cache="Slicer_Doctor" caption="Doctor" rowHeight="247650"/>
  <slicer name="Payment_Status" xr10:uid="{B12588C3-5121-4773-A7BC-61136EC72878}" cache="Slicer_Payment_Status" caption="Payment_Status" rowHeight="247650"/>
  <slicer name="Gender" xr10:uid="{233CE56B-D530-476E-BDFB-3667A31CDBC3}" cache="Slicer_Gender" caption="Gender" rowHeight="247650"/>
  <slicer name="Insurance" xr10:uid="{506F1A74-7BFE-4EDE-A57C-49D63270C56D}" cache="Slicer_Insurance" caption="Insuranc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7C2074-4DA1-4487-95F4-9D730464AC6F}" name="hospital_patient_unclean_500__3" displayName="hospital_patient_unclean_500__3" ref="A1:O502" tableType="queryTable" totalsRowShown="0">
  <autoFilter ref="A1:O502" xr:uid="{3C7C2074-4DA1-4487-95F4-9D730464AC6F}"/>
  <tableColumns count="15">
    <tableColumn id="1" xr3:uid="{B6D9FCB2-3068-4243-B10E-6203664EDE53}" uniqueName="1" name="Column1" queryTableFieldId="1" dataDxfId="261"/>
    <tableColumn id="2" xr3:uid="{1A8AEBCB-5FCF-4C58-B709-79A9D03E1B78}" uniqueName="2" name="Column2" queryTableFieldId="2" dataDxfId="260"/>
    <tableColumn id="3" xr3:uid="{30584BB9-555B-4045-BD5D-02F18DE914B2}" uniqueName="3" name="Column3" queryTableFieldId="3" dataDxfId="259"/>
    <tableColumn id="4" xr3:uid="{67A49D17-6CF5-4CB6-83DC-86D06E4300FB}" uniqueName="4" name="Column4" queryTableFieldId="4" dataDxfId="258"/>
    <tableColumn id="5" xr3:uid="{0E733875-F15C-4DF1-8D9C-F082B443E7F1}" uniqueName="5" name="Column5" queryTableFieldId="5" dataDxfId="257"/>
    <tableColumn id="6" xr3:uid="{91AF0A55-97D3-47CE-90A8-0B29454B26CC}" uniqueName="6" name="Column6" queryTableFieldId="6" dataDxfId="256"/>
    <tableColumn id="7" xr3:uid="{ECB5A6C9-D5E3-4680-93F0-0748E0E0D069}" uniqueName="7" name="Column7" queryTableFieldId="7" dataDxfId="255"/>
    <tableColumn id="8" xr3:uid="{7AE8EC43-4F44-4CFA-ADF9-C0A2584EC0C3}" uniqueName="8" name="Column8" queryTableFieldId="8" dataDxfId="254"/>
    <tableColumn id="9" xr3:uid="{5F0D68BE-A832-481B-9EF7-98637F290E80}" uniqueName="9" name="Column9" queryTableFieldId="9" dataDxfId="253"/>
    <tableColumn id="10" xr3:uid="{515EAE85-BB0F-4276-8FBC-DE1DE25173D8}" uniqueName="10" name="Column10" queryTableFieldId="10" dataDxfId="252"/>
    <tableColumn id="11" xr3:uid="{1C76332C-BB67-4DCF-BFFC-33214233B63A}" uniqueName="11" name="Column11" queryTableFieldId="11" dataDxfId="251"/>
    <tableColumn id="12" xr3:uid="{8428D1E1-35B8-456E-8A3C-BCAD965807B4}" uniqueName="12" name="Column12" queryTableFieldId="12" dataDxfId="250"/>
    <tableColumn id="13" xr3:uid="{96066349-873A-4418-9B46-C9F5ED1A4E33}" uniqueName="13" name="Column13" queryTableFieldId="13" dataDxfId="249"/>
    <tableColumn id="14" xr3:uid="{9EFC1D4D-4FCA-42FC-BBB8-18A37CA4B295}" uniqueName="14" name="Column14" queryTableFieldId="14" dataDxfId="248"/>
    <tableColumn id="15" xr3:uid="{ED9F341E-DA64-4745-8E28-7B058FB4ECB6}" uniqueName="15" name="Column15" queryTableFieldId="15" dataDxfId="24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0F17D13-1694-4834-983E-183D3A411900}" name="hospital_patient_unclean_500__2" displayName="hospital_patient_unclean_500__2" ref="A1:P501" tableType="queryTable" totalsRowShown="0" headerRowDxfId="298" dataDxfId="297">
  <autoFilter ref="A1:P501" xr:uid="{70F17D13-1694-4834-983E-183D3A411900}"/>
  <tableColumns count="16">
    <tableColumn id="1" xr3:uid="{B66BDD51-2726-4E7C-8191-0281D97712B1}" uniqueName="1" name="Patient_ID" queryTableFieldId="1" dataDxfId="296"/>
    <tableColumn id="2" xr3:uid="{EA26187C-9BC3-420D-9785-4C43937FCC36}" uniqueName="2" name="Patient_Name" queryTableFieldId="2" dataDxfId="295"/>
    <tableColumn id="3" xr3:uid="{1807C4D6-3493-44F3-ABBC-C043A45ECDCC}" uniqueName="3" name="Age" queryTableFieldId="3" dataDxfId="294"/>
    <tableColumn id="4" xr3:uid="{749D74E0-85D8-4409-9E6E-209A7A1C21E7}" uniqueName="4" name="Gender" queryTableFieldId="4" dataDxfId="293"/>
    <tableColumn id="5" xr3:uid="{5A723503-7367-4DD3-80C2-B7A3EE065EBC}" uniqueName="5" name="City" queryTableFieldId="5" dataDxfId="292"/>
    <tableColumn id="6" xr3:uid="{B8E0EDD2-8777-453B-BAE7-23D7C8E6E210}" uniqueName="6" name="Department" queryTableFieldId="6" dataDxfId="291"/>
    <tableColumn id="7" xr3:uid="{1D4A106C-8FA6-4AE9-87F4-D6FD053EA239}" uniqueName="7" name="Doctor" queryTableFieldId="7" dataDxfId="290"/>
    <tableColumn id="8" xr3:uid="{2F5CEC06-DCE0-481E-ABE5-BC2288BE783E}" uniqueName="8" name="Admission_Date" queryTableFieldId="8" dataDxfId="289"/>
    <tableColumn id="9" xr3:uid="{04AA702C-215A-4D2F-828A-B784C1D2EB20}" uniqueName="9" name="Discharge_Date" queryTableFieldId="9" dataDxfId="288"/>
    <tableColumn id="10" xr3:uid="{35D2ECBC-2C30-4076-98BF-164E9C52712A}" uniqueName="10" name="Diagnosis" queryTableFieldId="10" dataDxfId="287"/>
    <tableColumn id="11" xr3:uid="{049B7152-8B4C-444D-A025-2C4BCC282DD5}" uniqueName="11" name="Treatment" queryTableFieldId="11" dataDxfId="286"/>
    <tableColumn id="12" xr3:uid="{DA45B40F-B319-4466-8A97-19B489090BDD}" uniqueName="12" name="Bill_Amount" queryTableFieldId="12" dataDxfId="285"/>
    <tableColumn id="13" xr3:uid="{63D866DE-A6A0-49CB-BFD1-926C5F447AB1}" uniqueName="13" name="Insurance" queryTableFieldId="13" dataDxfId="284"/>
    <tableColumn id="14" xr3:uid="{0CB1EA8D-5E88-44AA-A9DE-4757631FF01E}" uniqueName="14" name="Payment_Status" queryTableFieldId="14" dataDxfId="283"/>
    <tableColumn id="15" xr3:uid="{2E9EBF81-BF4E-46E4-9434-CE430C3B9F15}" uniqueName="15" name="Patient_Status" queryTableFieldId="15" dataDxfId="282"/>
    <tableColumn id="16" xr3:uid="{048C005D-44BE-41CB-8160-18E90F09ECB6}" uniqueName="16" name="Age_Group" queryTableFieldId="16" dataDxfId="281">
      <calculatedColumnFormula>IF(hospital_patient_unclean_500__2[[#This Row],[Age]]&lt;18,"0-17",IF(hospital_patient_unclean_500__2[[#This Row],[Age]]&lt;36,"18-35",IF(hospital_patient_unclean_500__2[[#This Row],[Age]]&lt;51,"36-50",IF(hospital_patient_unclean_500__2[[#This Row],[Age]]&lt;66,"51-65","66+"))))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B5339-D287-4266-AF0E-C44B2AE8E7A2}">
  <dimension ref="A1:O502"/>
  <sheetViews>
    <sheetView workbookViewId="0">
      <selection activeCell="F16" sqref="F16"/>
    </sheetView>
  </sheetViews>
  <sheetFormatPr defaultRowHeight="14.4" x14ac:dyDescent="0.3"/>
  <cols>
    <col min="1" max="1" width="11.44140625" bestFit="1" customWidth="1"/>
    <col min="2" max="2" width="14.21875" bestFit="1" customWidth="1"/>
    <col min="3" max="5" width="10.6640625" bestFit="1" customWidth="1"/>
    <col min="6" max="6" width="19.21875" bestFit="1" customWidth="1"/>
    <col min="7" max="7" width="22" bestFit="1" customWidth="1"/>
    <col min="8" max="9" width="15.33203125" bestFit="1" customWidth="1"/>
    <col min="10" max="10" width="31.33203125" bestFit="1" customWidth="1"/>
    <col min="11" max="11" width="31.6640625" bestFit="1" customWidth="1"/>
    <col min="12" max="12" width="12.77734375" bestFit="1" customWidth="1"/>
    <col min="13" max="13" width="12.88671875" bestFit="1" customWidth="1"/>
    <col min="14" max="14" width="15" bestFit="1" customWidth="1"/>
    <col min="15" max="15" width="34.33203125" bestFit="1" customWidth="1"/>
  </cols>
  <sheetData>
    <row r="1" spans="1:15" x14ac:dyDescent="0.3">
      <c r="A1" t="s">
        <v>888</v>
      </c>
      <c r="B1" t="s">
        <v>889</v>
      </c>
      <c r="C1" t="s">
        <v>890</v>
      </c>
      <c r="D1" t="s">
        <v>891</v>
      </c>
      <c r="E1" t="s">
        <v>892</v>
      </c>
      <c r="F1" t="s">
        <v>893</v>
      </c>
      <c r="G1" t="s">
        <v>894</v>
      </c>
      <c r="H1" t="s">
        <v>895</v>
      </c>
      <c r="I1" t="s">
        <v>896</v>
      </c>
      <c r="J1" t="s">
        <v>897</v>
      </c>
      <c r="K1" t="s">
        <v>898</v>
      </c>
      <c r="L1" t="s">
        <v>899</v>
      </c>
      <c r="M1" t="s">
        <v>900</v>
      </c>
      <c r="N1" t="s">
        <v>901</v>
      </c>
      <c r="O1" t="s">
        <v>902</v>
      </c>
    </row>
    <row r="2" spans="1:15" x14ac:dyDescent="0.3">
      <c r="A2" s="18" t="s">
        <v>0</v>
      </c>
      <c r="B2" s="18" t="s">
        <v>1</v>
      </c>
      <c r="C2" s="18" t="s">
        <v>2</v>
      </c>
      <c r="D2" s="18" t="s">
        <v>3</v>
      </c>
      <c r="E2" s="18" t="s">
        <v>4</v>
      </c>
      <c r="F2" s="18" t="s">
        <v>5</v>
      </c>
      <c r="G2" s="18" t="s">
        <v>6</v>
      </c>
      <c r="H2" s="18" t="s">
        <v>7</v>
      </c>
      <c r="I2" s="18" t="s">
        <v>8</v>
      </c>
      <c r="J2" s="18" t="s">
        <v>9</v>
      </c>
      <c r="K2" s="18" t="s">
        <v>10</v>
      </c>
      <c r="L2" s="18" t="s">
        <v>11</v>
      </c>
      <c r="M2" s="18" t="s">
        <v>12</v>
      </c>
      <c r="N2" s="18" t="s">
        <v>13</v>
      </c>
      <c r="O2" s="18" t="s">
        <v>14</v>
      </c>
    </row>
    <row r="3" spans="1:15" x14ac:dyDescent="0.3">
      <c r="A3" s="18" t="s">
        <v>15</v>
      </c>
      <c r="B3" s="18" t="s">
        <v>16</v>
      </c>
      <c r="C3" s="18" t="s">
        <v>903</v>
      </c>
      <c r="D3" s="18" t="s">
        <v>17</v>
      </c>
      <c r="E3" s="18" t="s">
        <v>18</v>
      </c>
      <c r="F3" s="18" t="s">
        <v>19</v>
      </c>
      <c r="G3" s="18" t="s">
        <v>20</v>
      </c>
      <c r="H3" s="18" t="s">
        <v>904</v>
      </c>
      <c r="I3" s="18" t="s">
        <v>905</v>
      </c>
      <c r="J3" s="18" t="s">
        <v>21</v>
      </c>
      <c r="K3" s="18" t="s">
        <v>22</v>
      </c>
      <c r="L3" s="18" t="s">
        <v>906</v>
      </c>
      <c r="M3" s="18" t="s">
        <v>23</v>
      </c>
      <c r="N3" s="18" t="s">
        <v>24</v>
      </c>
      <c r="O3" s="18" t="s">
        <v>25</v>
      </c>
    </row>
    <row r="4" spans="1:15" x14ac:dyDescent="0.3">
      <c r="A4" s="18" t="s">
        <v>26</v>
      </c>
      <c r="B4" s="18" t="s">
        <v>27</v>
      </c>
      <c r="C4" s="18" t="s">
        <v>907</v>
      </c>
      <c r="D4" s="18" t="s">
        <v>908</v>
      </c>
      <c r="E4" s="18" t="s">
        <v>909</v>
      </c>
      <c r="F4" s="18" t="s">
        <v>28</v>
      </c>
      <c r="G4" s="18" t="s">
        <v>29</v>
      </c>
      <c r="H4" s="18" t="s">
        <v>910</v>
      </c>
      <c r="I4" s="18" t="s">
        <v>911</v>
      </c>
      <c r="J4" s="18" t="s">
        <v>30</v>
      </c>
      <c r="K4" s="18" t="s">
        <v>31</v>
      </c>
      <c r="L4" s="18" t="s">
        <v>912</v>
      </c>
      <c r="M4" s="18" t="s">
        <v>32</v>
      </c>
      <c r="N4" s="18" t="s">
        <v>33</v>
      </c>
      <c r="O4" s="18" t="s">
        <v>34</v>
      </c>
    </row>
    <row r="5" spans="1:15" x14ac:dyDescent="0.3">
      <c r="A5" s="18" t="s">
        <v>35</v>
      </c>
      <c r="B5" s="18" t="s">
        <v>36</v>
      </c>
      <c r="C5" s="18" t="s">
        <v>913</v>
      </c>
      <c r="D5" s="18" t="s">
        <v>908</v>
      </c>
      <c r="E5" s="18" t="s">
        <v>37</v>
      </c>
      <c r="F5" s="18" t="s">
        <v>38</v>
      </c>
      <c r="G5" s="18" t="s">
        <v>914</v>
      </c>
      <c r="H5" s="18" t="s">
        <v>915</v>
      </c>
      <c r="I5" s="18" t="s">
        <v>909</v>
      </c>
      <c r="J5" s="18" t="s">
        <v>916</v>
      </c>
      <c r="K5" s="18" t="s">
        <v>39</v>
      </c>
      <c r="L5" s="18" t="s">
        <v>917</v>
      </c>
      <c r="M5" s="18" t="s">
        <v>40</v>
      </c>
      <c r="N5" s="18" t="s">
        <v>24</v>
      </c>
      <c r="O5" s="18" t="s">
        <v>41</v>
      </c>
    </row>
    <row r="6" spans="1:15" x14ac:dyDescent="0.3">
      <c r="A6" s="18" t="s">
        <v>918</v>
      </c>
      <c r="B6" s="18" t="s">
        <v>42</v>
      </c>
      <c r="C6" s="18" t="s">
        <v>919</v>
      </c>
      <c r="D6" s="18" t="s">
        <v>920</v>
      </c>
      <c r="E6" s="18" t="s">
        <v>43</v>
      </c>
      <c r="F6" s="18" t="s">
        <v>44</v>
      </c>
      <c r="G6" s="18" t="s">
        <v>45</v>
      </c>
      <c r="H6" s="18" t="s">
        <v>921</v>
      </c>
      <c r="I6" s="18" t="s">
        <v>909</v>
      </c>
      <c r="J6" s="18" t="s">
        <v>922</v>
      </c>
      <c r="K6" s="18" t="s">
        <v>46</v>
      </c>
      <c r="L6" s="18" t="s">
        <v>923</v>
      </c>
      <c r="M6" s="18" t="s">
        <v>47</v>
      </c>
      <c r="N6" s="18" t="s">
        <v>48</v>
      </c>
      <c r="O6" s="18" t="s">
        <v>41</v>
      </c>
    </row>
    <row r="7" spans="1:15" x14ac:dyDescent="0.3">
      <c r="A7" s="18" t="s">
        <v>49</v>
      </c>
      <c r="B7" s="18" t="s">
        <v>50</v>
      </c>
      <c r="C7" s="18" t="s">
        <v>924</v>
      </c>
      <c r="D7" s="18" t="s">
        <v>51</v>
      </c>
      <c r="E7" s="18" t="s">
        <v>52</v>
      </c>
      <c r="F7" s="18" t="s">
        <v>53</v>
      </c>
      <c r="G7" s="18" t="s">
        <v>54</v>
      </c>
      <c r="H7" s="18" t="s">
        <v>925</v>
      </c>
      <c r="I7" s="18" t="s">
        <v>926</v>
      </c>
      <c r="J7" s="18" t="s">
        <v>55</v>
      </c>
      <c r="K7" s="18" t="s">
        <v>56</v>
      </c>
      <c r="L7" s="18" t="s">
        <v>927</v>
      </c>
      <c r="M7" s="18" t="s">
        <v>40</v>
      </c>
      <c r="N7" s="18" t="s">
        <v>33</v>
      </c>
      <c r="O7" s="18" t="s">
        <v>34</v>
      </c>
    </row>
    <row r="8" spans="1:15" x14ac:dyDescent="0.3">
      <c r="A8" s="18" t="s">
        <v>57</v>
      </c>
      <c r="B8" s="18" t="s">
        <v>58</v>
      </c>
      <c r="C8" s="18" t="s">
        <v>928</v>
      </c>
      <c r="D8" s="18" t="s">
        <v>51</v>
      </c>
      <c r="E8" s="18" t="s">
        <v>37</v>
      </c>
      <c r="F8" s="18" t="s">
        <v>38</v>
      </c>
      <c r="G8" s="18" t="s">
        <v>929</v>
      </c>
      <c r="H8" s="18" t="s">
        <v>930</v>
      </c>
      <c r="I8" s="18" t="s">
        <v>931</v>
      </c>
      <c r="J8" s="18" t="s">
        <v>909</v>
      </c>
      <c r="K8" s="18" t="s">
        <v>59</v>
      </c>
      <c r="L8" s="18" t="s">
        <v>932</v>
      </c>
      <c r="M8" s="18" t="s">
        <v>60</v>
      </c>
      <c r="N8" s="18" t="s">
        <v>61</v>
      </c>
      <c r="O8" s="18" t="s">
        <v>909</v>
      </c>
    </row>
    <row r="9" spans="1:15" x14ac:dyDescent="0.3">
      <c r="A9" s="18" t="s">
        <v>62</v>
      </c>
      <c r="B9" s="18" t="s">
        <v>63</v>
      </c>
      <c r="C9" s="18" t="s">
        <v>933</v>
      </c>
      <c r="D9" s="18" t="s">
        <v>17</v>
      </c>
      <c r="E9" s="18" t="s">
        <v>64</v>
      </c>
      <c r="F9" s="18" t="s">
        <v>934</v>
      </c>
      <c r="G9" s="18" t="s">
        <v>909</v>
      </c>
      <c r="H9" s="18" t="s">
        <v>935</v>
      </c>
      <c r="I9" s="18" t="s">
        <v>936</v>
      </c>
      <c r="J9" s="18" t="s">
        <v>916</v>
      </c>
      <c r="K9" s="18" t="s">
        <v>39</v>
      </c>
      <c r="L9" s="18" t="s">
        <v>937</v>
      </c>
      <c r="M9" s="18" t="s">
        <v>32</v>
      </c>
      <c r="N9" s="18" t="s">
        <v>65</v>
      </c>
      <c r="O9" s="18" t="s">
        <v>938</v>
      </c>
    </row>
    <row r="10" spans="1:15" x14ac:dyDescent="0.3">
      <c r="A10" s="18" t="s">
        <v>66</v>
      </c>
      <c r="B10" s="18" t="s">
        <v>67</v>
      </c>
      <c r="C10" s="18" t="s">
        <v>909</v>
      </c>
      <c r="D10" s="18" t="s">
        <v>17</v>
      </c>
      <c r="E10" s="18" t="s">
        <v>68</v>
      </c>
      <c r="F10" s="18" t="s">
        <v>53</v>
      </c>
      <c r="G10" s="18" t="s">
        <v>69</v>
      </c>
      <c r="H10" s="18" t="s">
        <v>939</v>
      </c>
      <c r="I10" s="18" t="s">
        <v>940</v>
      </c>
      <c r="J10" s="18" t="s">
        <v>70</v>
      </c>
      <c r="K10" s="18" t="s">
        <v>71</v>
      </c>
      <c r="L10" s="18" t="s">
        <v>941</v>
      </c>
      <c r="M10" s="18" t="s">
        <v>72</v>
      </c>
      <c r="N10" s="18" t="s">
        <v>942</v>
      </c>
      <c r="O10" s="18" t="s">
        <v>938</v>
      </c>
    </row>
    <row r="11" spans="1:15" x14ac:dyDescent="0.3">
      <c r="A11" s="18" t="s">
        <v>73</v>
      </c>
      <c r="B11" s="18" t="s">
        <v>74</v>
      </c>
      <c r="C11" s="18" t="s">
        <v>943</v>
      </c>
      <c r="D11" s="18" t="s">
        <v>51</v>
      </c>
      <c r="E11" s="18" t="s">
        <v>52</v>
      </c>
      <c r="F11" s="18" t="s">
        <v>28</v>
      </c>
      <c r="G11" s="18" t="s">
        <v>29</v>
      </c>
      <c r="H11" s="18" t="s">
        <v>944</v>
      </c>
      <c r="I11" s="18" t="s">
        <v>945</v>
      </c>
      <c r="J11" s="18" t="s">
        <v>75</v>
      </c>
      <c r="K11" s="18" t="s">
        <v>76</v>
      </c>
      <c r="L11" s="18" t="s">
        <v>946</v>
      </c>
      <c r="M11" s="18" t="s">
        <v>72</v>
      </c>
      <c r="N11" s="18" t="s">
        <v>65</v>
      </c>
      <c r="O11" s="18" t="s">
        <v>25</v>
      </c>
    </row>
    <row r="12" spans="1:15" x14ac:dyDescent="0.3">
      <c r="A12" s="18" t="s">
        <v>77</v>
      </c>
      <c r="B12" s="18" t="s">
        <v>78</v>
      </c>
      <c r="C12" s="18" t="s">
        <v>947</v>
      </c>
      <c r="D12" s="18" t="s">
        <v>51</v>
      </c>
      <c r="E12" s="18" t="s">
        <v>18</v>
      </c>
      <c r="F12" s="18" t="s">
        <v>38</v>
      </c>
      <c r="G12" s="18" t="s">
        <v>79</v>
      </c>
      <c r="H12" s="18" t="s">
        <v>948</v>
      </c>
      <c r="I12" s="18" t="s">
        <v>949</v>
      </c>
      <c r="J12" s="18" t="s">
        <v>80</v>
      </c>
      <c r="K12" s="18" t="s">
        <v>81</v>
      </c>
      <c r="L12" s="18" t="s">
        <v>950</v>
      </c>
      <c r="M12" s="18" t="s">
        <v>32</v>
      </c>
      <c r="N12" s="18" t="s">
        <v>65</v>
      </c>
      <c r="O12" s="18" t="s">
        <v>34</v>
      </c>
    </row>
    <row r="13" spans="1:15" x14ac:dyDescent="0.3">
      <c r="A13" s="18" t="s">
        <v>82</v>
      </c>
      <c r="B13" s="18" t="s">
        <v>83</v>
      </c>
      <c r="C13" s="18" t="s">
        <v>951</v>
      </c>
      <c r="D13" s="18" t="s">
        <v>17</v>
      </c>
      <c r="E13" s="18" t="s">
        <v>84</v>
      </c>
      <c r="F13" s="18" t="s">
        <v>44</v>
      </c>
      <c r="G13" s="18" t="s">
        <v>45</v>
      </c>
      <c r="H13" s="18" t="s">
        <v>952</v>
      </c>
      <c r="I13" s="18" t="s">
        <v>953</v>
      </c>
      <c r="J13" s="18" t="s">
        <v>922</v>
      </c>
      <c r="K13" s="18" t="s">
        <v>46</v>
      </c>
      <c r="L13" s="18" t="s">
        <v>954</v>
      </c>
      <c r="M13" s="18" t="s">
        <v>40</v>
      </c>
      <c r="N13" s="18" t="s">
        <v>65</v>
      </c>
      <c r="O13" s="18" t="s">
        <v>34</v>
      </c>
    </row>
    <row r="14" spans="1:15" x14ac:dyDescent="0.3">
      <c r="A14" s="18" t="s">
        <v>85</v>
      </c>
      <c r="B14" s="18" t="s">
        <v>955</v>
      </c>
      <c r="C14" s="18" t="s">
        <v>956</v>
      </c>
      <c r="D14" s="18" t="s">
        <v>51</v>
      </c>
      <c r="E14" s="18" t="s">
        <v>86</v>
      </c>
      <c r="F14" s="18" t="s">
        <v>87</v>
      </c>
      <c r="G14" s="18" t="s">
        <v>88</v>
      </c>
      <c r="H14" s="18" t="s">
        <v>957</v>
      </c>
      <c r="I14" s="18" t="s">
        <v>958</v>
      </c>
      <c r="J14" s="18" t="s">
        <v>89</v>
      </c>
      <c r="K14" s="18" t="s">
        <v>959</v>
      </c>
      <c r="L14" s="18" t="s">
        <v>960</v>
      </c>
      <c r="M14" s="18" t="s">
        <v>909</v>
      </c>
      <c r="N14" s="18" t="s">
        <v>48</v>
      </c>
      <c r="O14" s="18" t="s">
        <v>25</v>
      </c>
    </row>
    <row r="15" spans="1:15" x14ac:dyDescent="0.3">
      <c r="A15" s="18" t="s">
        <v>90</v>
      </c>
      <c r="B15" s="18" t="s">
        <v>91</v>
      </c>
      <c r="C15" s="18" t="s">
        <v>961</v>
      </c>
      <c r="D15" s="18" t="s">
        <v>51</v>
      </c>
      <c r="E15" s="18" t="s">
        <v>64</v>
      </c>
      <c r="F15" s="18" t="s">
        <v>87</v>
      </c>
      <c r="G15" s="18" t="s">
        <v>88</v>
      </c>
      <c r="H15" s="18" t="s">
        <v>962</v>
      </c>
      <c r="I15" s="18" t="s">
        <v>963</v>
      </c>
      <c r="J15" s="18" t="s">
        <v>89</v>
      </c>
      <c r="K15" s="18" t="s">
        <v>92</v>
      </c>
      <c r="L15" s="18" t="s">
        <v>964</v>
      </c>
      <c r="M15" s="18" t="s">
        <v>23</v>
      </c>
      <c r="N15" s="18" t="s">
        <v>48</v>
      </c>
      <c r="O15" s="18" t="s">
        <v>93</v>
      </c>
    </row>
    <row r="16" spans="1:15" x14ac:dyDescent="0.3">
      <c r="A16" s="18" t="s">
        <v>909</v>
      </c>
      <c r="B16" s="18" t="s">
        <v>50</v>
      </c>
      <c r="C16" s="18" t="s">
        <v>943</v>
      </c>
      <c r="D16" s="18" t="s">
        <v>51</v>
      </c>
      <c r="E16" s="18" t="s">
        <v>86</v>
      </c>
      <c r="F16" s="18" t="s">
        <v>19</v>
      </c>
      <c r="G16" s="18" t="s">
        <v>20</v>
      </c>
      <c r="H16" s="18" t="s">
        <v>965</v>
      </c>
      <c r="I16" s="18" t="s">
        <v>966</v>
      </c>
      <c r="J16" s="18" t="s">
        <v>21</v>
      </c>
      <c r="K16" s="18" t="s">
        <v>22</v>
      </c>
      <c r="L16" s="18" t="s">
        <v>967</v>
      </c>
      <c r="M16" s="18" t="s">
        <v>40</v>
      </c>
      <c r="N16" s="18" t="s">
        <v>61</v>
      </c>
      <c r="O16" s="18" t="s">
        <v>25</v>
      </c>
    </row>
    <row r="17" spans="1:15" x14ac:dyDescent="0.3">
      <c r="A17" s="18" t="s">
        <v>94</v>
      </c>
      <c r="B17" s="18" t="s">
        <v>95</v>
      </c>
      <c r="C17" s="18" t="s">
        <v>968</v>
      </c>
      <c r="D17" s="18" t="s">
        <v>96</v>
      </c>
      <c r="E17" s="18" t="s">
        <v>64</v>
      </c>
      <c r="F17" s="18" t="s">
        <v>38</v>
      </c>
      <c r="G17" s="18" t="s">
        <v>909</v>
      </c>
      <c r="H17" s="18" t="s">
        <v>969</v>
      </c>
      <c r="I17" s="18" t="s">
        <v>970</v>
      </c>
      <c r="J17" s="18" t="s">
        <v>97</v>
      </c>
      <c r="K17" s="18" t="s">
        <v>98</v>
      </c>
      <c r="L17" s="18" t="s">
        <v>971</v>
      </c>
      <c r="M17" s="18" t="s">
        <v>99</v>
      </c>
      <c r="N17" s="18" t="s">
        <v>61</v>
      </c>
      <c r="O17" s="18" t="s">
        <v>25</v>
      </c>
    </row>
    <row r="18" spans="1:15" x14ac:dyDescent="0.3">
      <c r="A18" s="18" t="s">
        <v>972</v>
      </c>
      <c r="B18" s="18" t="s">
        <v>100</v>
      </c>
      <c r="C18" s="18" t="s">
        <v>973</v>
      </c>
      <c r="D18" s="18" t="s">
        <v>17</v>
      </c>
      <c r="E18" s="18" t="s">
        <v>909</v>
      </c>
      <c r="F18" s="18" t="s">
        <v>28</v>
      </c>
      <c r="G18" s="18" t="s">
        <v>101</v>
      </c>
      <c r="H18" s="18" t="s">
        <v>974</v>
      </c>
      <c r="I18" s="18" t="s">
        <v>975</v>
      </c>
      <c r="J18" s="18" t="s">
        <v>102</v>
      </c>
      <c r="K18" s="18" t="s">
        <v>103</v>
      </c>
      <c r="L18" s="18" t="s">
        <v>976</v>
      </c>
      <c r="M18" s="18" t="s">
        <v>47</v>
      </c>
      <c r="N18" s="18" t="s">
        <v>61</v>
      </c>
      <c r="O18" s="18" t="s">
        <v>977</v>
      </c>
    </row>
    <row r="19" spans="1:15" x14ac:dyDescent="0.3">
      <c r="A19" s="18" t="s">
        <v>104</v>
      </c>
      <c r="B19" s="18" t="s">
        <v>95</v>
      </c>
      <c r="C19" s="18" t="s">
        <v>978</v>
      </c>
      <c r="D19" s="18" t="s">
        <v>17</v>
      </c>
      <c r="E19" s="18" t="s">
        <v>18</v>
      </c>
      <c r="F19" s="18" t="s">
        <v>19</v>
      </c>
      <c r="G19" s="18" t="s">
        <v>105</v>
      </c>
      <c r="H19" s="18" t="s">
        <v>979</v>
      </c>
      <c r="I19" s="18" t="s">
        <v>980</v>
      </c>
      <c r="J19" s="18" t="s">
        <v>21</v>
      </c>
      <c r="K19" s="18" t="s">
        <v>22</v>
      </c>
      <c r="L19" s="18" t="s">
        <v>981</v>
      </c>
      <c r="M19" s="18" t="s">
        <v>72</v>
      </c>
      <c r="N19" s="18" t="s">
        <v>48</v>
      </c>
      <c r="O19" s="18" t="s">
        <v>938</v>
      </c>
    </row>
    <row r="20" spans="1:15" x14ac:dyDescent="0.3">
      <c r="A20" s="18" t="s">
        <v>982</v>
      </c>
      <c r="B20" s="18" t="s">
        <v>106</v>
      </c>
      <c r="C20" s="18" t="s">
        <v>951</v>
      </c>
      <c r="D20" s="18" t="s">
        <v>908</v>
      </c>
      <c r="E20" s="18" t="s">
        <v>18</v>
      </c>
      <c r="F20" s="18" t="s">
        <v>53</v>
      </c>
      <c r="G20" s="18" t="s">
        <v>909</v>
      </c>
      <c r="H20" s="18" t="s">
        <v>983</v>
      </c>
      <c r="I20" s="18" t="s">
        <v>909</v>
      </c>
      <c r="J20" s="18" t="s">
        <v>107</v>
      </c>
      <c r="K20" s="18" t="s">
        <v>108</v>
      </c>
      <c r="L20" s="18" t="s">
        <v>984</v>
      </c>
      <c r="M20" s="18" t="s">
        <v>32</v>
      </c>
      <c r="N20" s="18" t="s">
        <v>65</v>
      </c>
      <c r="O20" s="18" t="s">
        <v>985</v>
      </c>
    </row>
    <row r="21" spans="1:15" x14ac:dyDescent="0.3">
      <c r="A21" s="18" t="s">
        <v>109</v>
      </c>
      <c r="B21" s="18" t="s">
        <v>110</v>
      </c>
      <c r="C21" s="18" t="s">
        <v>986</v>
      </c>
      <c r="D21" s="18" t="s">
        <v>51</v>
      </c>
      <c r="E21" s="18" t="s">
        <v>111</v>
      </c>
      <c r="F21" s="18" t="s">
        <v>87</v>
      </c>
      <c r="G21" s="18" t="s">
        <v>112</v>
      </c>
      <c r="H21" s="18" t="s">
        <v>987</v>
      </c>
      <c r="I21" s="18" t="s">
        <v>988</v>
      </c>
      <c r="J21" s="18" t="s">
        <v>989</v>
      </c>
      <c r="K21" s="18" t="s">
        <v>113</v>
      </c>
      <c r="L21" s="18" t="s">
        <v>990</v>
      </c>
      <c r="M21" s="18" t="s">
        <v>40</v>
      </c>
      <c r="N21" s="18" t="s">
        <v>991</v>
      </c>
      <c r="O21" s="18" t="s">
        <v>25</v>
      </c>
    </row>
    <row r="22" spans="1:15" x14ac:dyDescent="0.3">
      <c r="A22" s="18" t="s">
        <v>114</v>
      </c>
      <c r="B22" s="18" t="s">
        <v>115</v>
      </c>
      <c r="C22" s="18" t="s">
        <v>992</v>
      </c>
      <c r="D22" s="18" t="s">
        <v>51</v>
      </c>
      <c r="E22" s="18" t="s">
        <v>52</v>
      </c>
      <c r="F22" s="18" t="s">
        <v>38</v>
      </c>
      <c r="G22" s="18" t="s">
        <v>79</v>
      </c>
      <c r="H22" s="18" t="s">
        <v>948</v>
      </c>
      <c r="I22" s="18" t="s">
        <v>909</v>
      </c>
      <c r="J22" s="18" t="s">
        <v>80</v>
      </c>
      <c r="K22" s="18" t="s">
        <v>81</v>
      </c>
      <c r="L22" s="18" t="s">
        <v>993</v>
      </c>
      <c r="M22" s="18" t="s">
        <v>72</v>
      </c>
      <c r="N22" s="18" t="s">
        <v>61</v>
      </c>
      <c r="O22" s="18" t="s">
        <v>41</v>
      </c>
    </row>
    <row r="23" spans="1:15" x14ac:dyDescent="0.3">
      <c r="A23" s="18" t="s">
        <v>116</v>
      </c>
      <c r="B23" s="18" t="s">
        <v>117</v>
      </c>
      <c r="C23" s="18" t="s">
        <v>994</v>
      </c>
      <c r="D23" s="18" t="s">
        <v>51</v>
      </c>
      <c r="E23" s="18" t="s">
        <v>68</v>
      </c>
      <c r="F23" s="18" t="s">
        <v>995</v>
      </c>
      <c r="G23" s="18" t="s">
        <v>112</v>
      </c>
      <c r="H23" s="18" t="s">
        <v>996</v>
      </c>
      <c r="I23" s="18" t="s">
        <v>997</v>
      </c>
      <c r="J23" s="18" t="s">
        <v>89</v>
      </c>
      <c r="K23" s="18" t="s">
        <v>92</v>
      </c>
      <c r="L23" s="18" t="s">
        <v>998</v>
      </c>
      <c r="M23" s="18" t="s">
        <v>72</v>
      </c>
      <c r="N23" s="18" t="s">
        <v>48</v>
      </c>
      <c r="O23" s="18" t="s">
        <v>938</v>
      </c>
    </row>
    <row r="24" spans="1:15" x14ac:dyDescent="0.3">
      <c r="A24" s="18" t="s">
        <v>118</v>
      </c>
      <c r="B24" s="18" t="s">
        <v>119</v>
      </c>
      <c r="C24" s="18" t="s">
        <v>999</v>
      </c>
      <c r="D24" s="18" t="s">
        <v>17</v>
      </c>
      <c r="E24" s="18" t="s">
        <v>37</v>
      </c>
      <c r="F24" s="18" t="s">
        <v>19</v>
      </c>
      <c r="G24" s="18" t="s">
        <v>20</v>
      </c>
      <c r="H24" s="18" t="s">
        <v>1000</v>
      </c>
      <c r="I24" s="18" t="s">
        <v>1001</v>
      </c>
      <c r="J24" s="18" t="s">
        <v>120</v>
      </c>
      <c r="K24" s="18" t="s">
        <v>121</v>
      </c>
      <c r="L24" s="18" t="s">
        <v>1002</v>
      </c>
      <c r="M24" s="18" t="s">
        <v>47</v>
      </c>
      <c r="N24" s="18" t="s">
        <v>61</v>
      </c>
      <c r="O24" s="18" t="s">
        <v>34</v>
      </c>
    </row>
    <row r="25" spans="1:15" x14ac:dyDescent="0.3">
      <c r="A25" s="18" t="s">
        <v>122</v>
      </c>
      <c r="B25" s="18" t="s">
        <v>123</v>
      </c>
      <c r="C25" s="18" t="s">
        <v>1003</v>
      </c>
      <c r="D25" s="18" t="s">
        <v>17</v>
      </c>
      <c r="E25" s="18" t="s">
        <v>124</v>
      </c>
      <c r="F25" s="18" t="s">
        <v>38</v>
      </c>
      <c r="G25" s="18" t="s">
        <v>125</v>
      </c>
      <c r="H25" s="18" t="s">
        <v>1004</v>
      </c>
      <c r="I25" s="18" t="s">
        <v>909</v>
      </c>
      <c r="J25" s="18" t="s">
        <v>80</v>
      </c>
      <c r="K25" s="18" t="s">
        <v>81</v>
      </c>
      <c r="L25" s="18" t="s">
        <v>1005</v>
      </c>
      <c r="M25" s="18" t="s">
        <v>99</v>
      </c>
      <c r="N25" s="18" t="s">
        <v>48</v>
      </c>
      <c r="O25" s="18" t="s">
        <v>41</v>
      </c>
    </row>
    <row r="26" spans="1:15" x14ac:dyDescent="0.3">
      <c r="A26" s="18" t="s">
        <v>126</v>
      </c>
      <c r="B26" s="18" t="s">
        <v>127</v>
      </c>
      <c r="C26" s="18" t="s">
        <v>994</v>
      </c>
      <c r="D26" s="18" t="s">
        <v>51</v>
      </c>
      <c r="E26" s="18" t="s">
        <v>86</v>
      </c>
      <c r="F26" s="18" t="s">
        <v>53</v>
      </c>
      <c r="G26" s="18" t="s">
        <v>909</v>
      </c>
      <c r="H26" s="18" t="s">
        <v>1006</v>
      </c>
      <c r="I26" s="18" t="s">
        <v>1007</v>
      </c>
      <c r="J26" s="18" t="s">
        <v>107</v>
      </c>
      <c r="K26" s="18" t="s">
        <v>108</v>
      </c>
      <c r="L26" s="18" t="s">
        <v>1008</v>
      </c>
      <c r="M26" s="18" t="s">
        <v>72</v>
      </c>
      <c r="N26" s="18" t="s">
        <v>909</v>
      </c>
      <c r="O26" s="18" t="s">
        <v>34</v>
      </c>
    </row>
    <row r="27" spans="1:15" x14ac:dyDescent="0.3">
      <c r="A27" s="18" t="s">
        <v>128</v>
      </c>
      <c r="B27" s="18" t="s">
        <v>129</v>
      </c>
      <c r="C27" s="18" t="s">
        <v>1009</v>
      </c>
      <c r="D27" s="18" t="s">
        <v>17</v>
      </c>
      <c r="E27" s="18" t="s">
        <v>18</v>
      </c>
      <c r="F27" s="18" t="s">
        <v>19</v>
      </c>
      <c r="G27" s="18" t="s">
        <v>105</v>
      </c>
      <c r="H27" s="18" t="s">
        <v>1010</v>
      </c>
      <c r="I27" s="18" t="s">
        <v>1011</v>
      </c>
      <c r="J27" s="18" t="s">
        <v>120</v>
      </c>
      <c r="K27" s="18" t="s">
        <v>121</v>
      </c>
      <c r="L27" s="18" t="s">
        <v>1012</v>
      </c>
      <c r="M27" s="18" t="s">
        <v>1013</v>
      </c>
      <c r="N27" s="18" t="s">
        <v>24</v>
      </c>
      <c r="O27" s="18" t="s">
        <v>34</v>
      </c>
    </row>
    <row r="28" spans="1:15" x14ac:dyDescent="0.3">
      <c r="A28" s="18" t="s">
        <v>130</v>
      </c>
      <c r="B28" s="18" t="s">
        <v>131</v>
      </c>
      <c r="C28" s="18" t="s">
        <v>1014</v>
      </c>
      <c r="D28" s="18" t="s">
        <v>51</v>
      </c>
      <c r="E28" s="18" t="s">
        <v>111</v>
      </c>
      <c r="F28" s="18" t="s">
        <v>132</v>
      </c>
      <c r="G28" s="18" t="s">
        <v>133</v>
      </c>
      <c r="H28" s="18" t="s">
        <v>1015</v>
      </c>
      <c r="I28" s="18" t="s">
        <v>909</v>
      </c>
      <c r="J28" s="18" t="s">
        <v>134</v>
      </c>
      <c r="K28" s="18" t="s">
        <v>135</v>
      </c>
      <c r="L28" s="18" t="s">
        <v>1016</v>
      </c>
      <c r="M28" s="18" t="s">
        <v>99</v>
      </c>
      <c r="N28" s="18" t="s">
        <v>61</v>
      </c>
      <c r="O28" s="18" t="s">
        <v>41</v>
      </c>
    </row>
    <row r="29" spans="1:15" x14ac:dyDescent="0.3">
      <c r="A29" s="18" t="s">
        <v>136</v>
      </c>
      <c r="B29" s="18" t="s">
        <v>137</v>
      </c>
      <c r="C29" s="18" t="s">
        <v>919</v>
      </c>
      <c r="D29" s="18" t="s">
        <v>96</v>
      </c>
      <c r="E29" s="18" t="s">
        <v>37</v>
      </c>
      <c r="F29" s="18" t="s">
        <v>132</v>
      </c>
      <c r="G29" s="18" t="s">
        <v>138</v>
      </c>
      <c r="H29" s="18" t="s">
        <v>1017</v>
      </c>
      <c r="I29" s="18" t="s">
        <v>1018</v>
      </c>
      <c r="J29" s="18" t="s">
        <v>139</v>
      </c>
      <c r="K29" s="18" t="s">
        <v>140</v>
      </c>
      <c r="L29" s="18" t="s">
        <v>1019</v>
      </c>
      <c r="M29" s="18" t="s">
        <v>47</v>
      </c>
      <c r="N29" s="18" t="s">
        <v>48</v>
      </c>
      <c r="O29" s="18" t="s">
        <v>25</v>
      </c>
    </row>
    <row r="30" spans="1:15" x14ac:dyDescent="0.3">
      <c r="A30" s="18" t="s">
        <v>141</v>
      </c>
      <c r="B30" s="18" t="s">
        <v>142</v>
      </c>
      <c r="C30" s="18" t="s">
        <v>1020</v>
      </c>
      <c r="D30" s="18" t="s">
        <v>51</v>
      </c>
      <c r="E30" s="18" t="s">
        <v>68</v>
      </c>
      <c r="F30" s="18" t="s">
        <v>53</v>
      </c>
      <c r="G30" s="18" t="s">
        <v>143</v>
      </c>
      <c r="H30" s="18" t="s">
        <v>1021</v>
      </c>
      <c r="I30" s="18" t="s">
        <v>1022</v>
      </c>
      <c r="J30" s="18" t="s">
        <v>107</v>
      </c>
      <c r="K30" s="18" t="s">
        <v>108</v>
      </c>
      <c r="L30" s="18" t="s">
        <v>1023</v>
      </c>
      <c r="M30" s="18" t="s">
        <v>60</v>
      </c>
      <c r="N30" s="18" t="s">
        <v>942</v>
      </c>
      <c r="O30" s="18" t="s">
        <v>909</v>
      </c>
    </row>
    <row r="31" spans="1:15" x14ac:dyDescent="0.3">
      <c r="A31" s="18" t="s">
        <v>144</v>
      </c>
      <c r="B31" s="18" t="s">
        <v>145</v>
      </c>
      <c r="C31" s="18" t="s">
        <v>1024</v>
      </c>
      <c r="D31" s="18" t="s">
        <v>17</v>
      </c>
      <c r="E31" s="18" t="s">
        <v>1025</v>
      </c>
      <c r="F31" s="18" t="s">
        <v>38</v>
      </c>
      <c r="G31" s="18" t="s">
        <v>125</v>
      </c>
      <c r="H31" s="18" t="s">
        <v>1026</v>
      </c>
      <c r="I31" s="18" t="s">
        <v>1027</v>
      </c>
      <c r="J31" s="18" t="s">
        <v>909</v>
      </c>
      <c r="K31" s="18" t="s">
        <v>98</v>
      </c>
      <c r="L31" s="18" t="s">
        <v>1028</v>
      </c>
      <c r="M31" s="18" t="s">
        <v>23</v>
      </c>
      <c r="N31" s="18" t="s">
        <v>65</v>
      </c>
      <c r="O31" s="18" t="s">
        <v>25</v>
      </c>
    </row>
    <row r="32" spans="1:15" x14ac:dyDescent="0.3">
      <c r="A32" s="18" t="s">
        <v>146</v>
      </c>
      <c r="B32" s="18" t="s">
        <v>1029</v>
      </c>
      <c r="C32" s="18" t="s">
        <v>1030</v>
      </c>
      <c r="D32" s="18" t="s">
        <v>17</v>
      </c>
      <c r="E32" s="18" t="s">
        <v>43</v>
      </c>
      <c r="F32" s="18" t="s">
        <v>132</v>
      </c>
      <c r="G32" s="18" t="s">
        <v>133</v>
      </c>
      <c r="H32" s="18" t="s">
        <v>1031</v>
      </c>
      <c r="I32" s="18" t="s">
        <v>909</v>
      </c>
      <c r="J32" s="18" t="s">
        <v>147</v>
      </c>
      <c r="K32" s="18" t="s">
        <v>148</v>
      </c>
      <c r="L32" s="18" t="s">
        <v>1032</v>
      </c>
      <c r="M32" s="18" t="s">
        <v>47</v>
      </c>
      <c r="N32" s="18" t="s">
        <v>24</v>
      </c>
      <c r="O32" s="18" t="s">
        <v>41</v>
      </c>
    </row>
    <row r="33" spans="1:15" x14ac:dyDescent="0.3">
      <c r="A33" s="18" t="s">
        <v>149</v>
      </c>
      <c r="B33" s="18" t="s">
        <v>150</v>
      </c>
      <c r="C33" s="18" t="s">
        <v>1033</v>
      </c>
      <c r="D33" s="18" t="s">
        <v>51</v>
      </c>
      <c r="E33" s="18" t="s">
        <v>68</v>
      </c>
      <c r="F33" s="18" t="s">
        <v>28</v>
      </c>
      <c r="G33" s="18" t="s">
        <v>1034</v>
      </c>
      <c r="H33" s="18" t="s">
        <v>1035</v>
      </c>
      <c r="I33" s="18" t="s">
        <v>1036</v>
      </c>
      <c r="J33" s="18" t="s">
        <v>30</v>
      </c>
      <c r="K33" s="18" t="s">
        <v>909</v>
      </c>
      <c r="L33" s="18" t="s">
        <v>1037</v>
      </c>
      <c r="M33" s="18" t="s">
        <v>40</v>
      </c>
      <c r="N33" s="18" t="s">
        <v>65</v>
      </c>
      <c r="O33" s="18" t="s">
        <v>25</v>
      </c>
    </row>
    <row r="34" spans="1:15" x14ac:dyDescent="0.3">
      <c r="A34" s="18" t="s">
        <v>151</v>
      </c>
      <c r="B34" s="18" t="s">
        <v>152</v>
      </c>
      <c r="C34" s="18" t="s">
        <v>1033</v>
      </c>
      <c r="D34" s="18" t="s">
        <v>17</v>
      </c>
      <c r="E34" s="18" t="s">
        <v>111</v>
      </c>
      <c r="F34" s="18" t="s">
        <v>44</v>
      </c>
      <c r="G34" s="18" t="s">
        <v>153</v>
      </c>
      <c r="H34" s="18" t="s">
        <v>1038</v>
      </c>
      <c r="I34" s="18" t="s">
        <v>1039</v>
      </c>
      <c r="J34" s="18" t="s">
        <v>154</v>
      </c>
      <c r="K34" s="18" t="s">
        <v>155</v>
      </c>
      <c r="L34" s="18" t="s">
        <v>1040</v>
      </c>
      <c r="M34" s="18" t="s">
        <v>60</v>
      </c>
      <c r="N34" s="18" t="s">
        <v>61</v>
      </c>
      <c r="O34" s="18" t="s">
        <v>93</v>
      </c>
    </row>
    <row r="35" spans="1:15" x14ac:dyDescent="0.3">
      <c r="A35" s="18" t="s">
        <v>156</v>
      </c>
      <c r="B35" s="18" t="s">
        <v>157</v>
      </c>
      <c r="C35" s="18" t="s">
        <v>1041</v>
      </c>
      <c r="D35" s="18" t="s">
        <v>51</v>
      </c>
      <c r="E35" s="18" t="s">
        <v>84</v>
      </c>
      <c r="F35" s="18" t="s">
        <v>19</v>
      </c>
      <c r="G35" s="18" t="s">
        <v>158</v>
      </c>
      <c r="H35" s="18" t="s">
        <v>1042</v>
      </c>
      <c r="I35" s="18" t="s">
        <v>1043</v>
      </c>
      <c r="J35" s="18" t="s">
        <v>21</v>
      </c>
      <c r="K35" s="18" t="s">
        <v>22</v>
      </c>
      <c r="L35" s="18" t="s">
        <v>1044</v>
      </c>
      <c r="M35" s="18" t="s">
        <v>72</v>
      </c>
      <c r="N35" s="18" t="s">
        <v>33</v>
      </c>
      <c r="O35" s="18" t="s">
        <v>1045</v>
      </c>
    </row>
    <row r="36" spans="1:15" x14ac:dyDescent="0.3">
      <c r="A36" s="18" t="s">
        <v>1046</v>
      </c>
      <c r="B36" s="18" t="s">
        <v>159</v>
      </c>
      <c r="C36" s="18" t="s">
        <v>1047</v>
      </c>
      <c r="D36" s="18" t="s">
        <v>17</v>
      </c>
      <c r="E36" s="18" t="s">
        <v>64</v>
      </c>
      <c r="F36" s="18" t="s">
        <v>44</v>
      </c>
      <c r="G36" s="18" t="s">
        <v>1048</v>
      </c>
      <c r="H36" s="18" t="s">
        <v>1049</v>
      </c>
      <c r="I36" s="18" t="s">
        <v>1050</v>
      </c>
      <c r="J36" s="18" t="s">
        <v>1051</v>
      </c>
      <c r="K36" s="18" t="s">
        <v>160</v>
      </c>
      <c r="L36" s="18" t="s">
        <v>1052</v>
      </c>
      <c r="M36" s="18" t="s">
        <v>72</v>
      </c>
      <c r="N36" s="18" t="s">
        <v>65</v>
      </c>
      <c r="O36" s="18" t="s">
        <v>93</v>
      </c>
    </row>
    <row r="37" spans="1:15" x14ac:dyDescent="0.3">
      <c r="A37" s="18" t="s">
        <v>161</v>
      </c>
      <c r="B37" s="18" t="s">
        <v>162</v>
      </c>
      <c r="C37" s="18" t="s">
        <v>1053</v>
      </c>
      <c r="D37" s="18" t="s">
        <v>17</v>
      </c>
      <c r="E37" s="18" t="s">
        <v>111</v>
      </c>
      <c r="F37" s="18" t="s">
        <v>53</v>
      </c>
      <c r="G37" s="18" t="s">
        <v>143</v>
      </c>
      <c r="H37" s="18" t="s">
        <v>1054</v>
      </c>
      <c r="I37" s="18" t="s">
        <v>1055</v>
      </c>
      <c r="J37" s="18" t="s">
        <v>70</v>
      </c>
      <c r="K37" s="18" t="s">
        <v>71</v>
      </c>
      <c r="L37" s="18" t="s">
        <v>1056</v>
      </c>
      <c r="M37" s="18" t="s">
        <v>60</v>
      </c>
      <c r="N37" s="18" t="s">
        <v>61</v>
      </c>
      <c r="O37" s="18" t="s">
        <v>938</v>
      </c>
    </row>
    <row r="38" spans="1:15" x14ac:dyDescent="0.3">
      <c r="A38" s="18" t="s">
        <v>163</v>
      </c>
      <c r="B38" s="18" t="s">
        <v>164</v>
      </c>
      <c r="C38" s="18" t="s">
        <v>999</v>
      </c>
      <c r="D38" s="18" t="s">
        <v>51</v>
      </c>
      <c r="E38" s="18" t="s">
        <v>68</v>
      </c>
      <c r="F38" s="18" t="s">
        <v>87</v>
      </c>
      <c r="G38" s="18" t="s">
        <v>1057</v>
      </c>
      <c r="H38" s="18" t="s">
        <v>909</v>
      </c>
      <c r="I38" s="18" t="s">
        <v>1058</v>
      </c>
      <c r="J38" s="18" t="s">
        <v>89</v>
      </c>
      <c r="K38" s="18" t="s">
        <v>92</v>
      </c>
      <c r="L38" s="18" t="s">
        <v>1059</v>
      </c>
      <c r="M38" s="18" t="s">
        <v>72</v>
      </c>
      <c r="N38" s="18" t="s">
        <v>61</v>
      </c>
      <c r="O38" s="18" t="s">
        <v>93</v>
      </c>
    </row>
    <row r="39" spans="1:15" x14ac:dyDescent="0.3">
      <c r="A39" s="18" t="s">
        <v>165</v>
      </c>
      <c r="B39" s="18" t="s">
        <v>166</v>
      </c>
      <c r="C39" s="18" t="s">
        <v>909</v>
      </c>
      <c r="D39" s="18" t="s">
        <v>51</v>
      </c>
      <c r="E39" s="18" t="s">
        <v>18</v>
      </c>
      <c r="F39" s="18" t="s">
        <v>38</v>
      </c>
      <c r="G39" s="18" t="s">
        <v>167</v>
      </c>
      <c r="H39" s="18" t="s">
        <v>1060</v>
      </c>
      <c r="I39" s="18" t="s">
        <v>1061</v>
      </c>
      <c r="J39" s="18" t="s">
        <v>909</v>
      </c>
      <c r="K39" s="18" t="s">
        <v>81</v>
      </c>
      <c r="L39" s="18" t="s">
        <v>1062</v>
      </c>
      <c r="M39" s="18" t="s">
        <v>1063</v>
      </c>
      <c r="N39" s="18" t="s">
        <v>24</v>
      </c>
      <c r="O39" s="18" t="s">
        <v>938</v>
      </c>
    </row>
    <row r="40" spans="1:15" x14ac:dyDescent="0.3">
      <c r="A40" s="18" t="s">
        <v>168</v>
      </c>
      <c r="B40" s="18" t="s">
        <v>169</v>
      </c>
      <c r="C40" s="18" t="s">
        <v>968</v>
      </c>
      <c r="D40" s="18" t="s">
        <v>17</v>
      </c>
      <c r="E40" s="18" t="s">
        <v>52</v>
      </c>
      <c r="F40" s="18" t="s">
        <v>44</v>
      </c>
      <c r="G40" s="18" t="s">
        <v>153</v>
      </c>
      <c r="H40" s="18" t="s">
        <v>1064</v>
      </c>
      <c r="I40" s="18" t="s">
        <v>957</v>
      </c>
      <c r="J40" s="18" t="s">
        <v>154</v>
      </c>
      <c r="K40" s="18" t="s">
        <v>155</v>
      </c>
      <c r="L40" s="18" t="s">
        <v>1065</v>
      </c>
      <c r="M40" s="18" t="s">
        <v>99</v>
      </c>
      <c r="N40" s="18" t="s">
        <v>48</v>
      </c>
      <c r="O40" s="18" t="s">
        <v>93</v>
      </c>
    </row>
    <row r="41" spans="1:15" x14ac:dyDescent="0.3">
      <c r="A41" s="18" t="s">
        <v>170</v>
      </c>
      <c r="B41" s="18" t="s">
        <v>91</v>
      </c>
      <c r="C41" s="18" t="s">
        <v>1066</v>
      </c>
      <c r="D41" s="18" t="s">
        <v>51</v>
      </c>
      <c r="E41" s="18" t="s">
        <v>124</v>
      </c>
      <c r="F41" s="18" t="s">
        <v>87</v>
      </c>
      <c r="G41" s="18" t="s">
        <v>112</v>
      </c>
      <c r="H41" s="18" t="s">
        <v>1067</v>
      </c>
      <c r="I41" s="18" t="s">
        <v>1068</v>
      </c>
      <c r="J41" s="18" t="s">
        <v>171</v>
      </c>
      <c r="K41" s="18" t="s">
        <v>113</v>
      </c>
      <c r="L41" s="18" t="s">
        <v>1069</v>
      </c>
      <c r="M41" s="18" t="s">
        <v>99</v>
      </c>
      <c r="N41" s="18" t="s">
        <v>48</v>
      </c>
      <c r="O41" s="18" t="s">
        <v>938</v>
      </c>
    </row>
    <row r="42" spans="1:15" x14ac:dyDescent="0.3">
      <c r="A42" s="18" t="s">
        <v>172</v>
      </c>
      <c r="B42" s="18" t="s">
        <v>42</v>
      </c>
      <c r="C42" s="18" t="s">
        <v>1009</v>
      </c>
      <c r="D42" s="18" t="s">
        <v>51</v>
      </c>
      <c r="E42" s="18" t="s">
        <v>86</v>
      </c>
      <c r="F42" s="18" t="s">
        <v>1070</v>
      </c>
      <c r="G42" s="18" t="s">
        <v>138</v>
      </c>
      <c r="H42" s="18" t="s">
        <v>1071</v>
      </c>
      <c r="I42" s="18" t="s">
        <v>1072</v>
      </c>
      <c r="J42" s="18" t="s">
        <v>173</v>
      </c>
      <c r="K42" s="18" t="s">
        <v>174</v>
      </c>
      <c r="L42" s="18" t="s">
        <v>1073</v>
      </c>
      <c r="M42" s="18" t="s">
        <v>23</v>
      </c>
      <c r="N42" s="18" t="s">
        <v>33</v>
      </c>
      <c r="O42" s="18" t="s">
        <v>938</v>
      </c>
    </row>
    <row r="43" spans="1:15" x14ac:dyDescent="0.3">
      <c r="A43" s="18" t="s">
        <v>175</v>
      </c>
      <c r="B43" s="18" t="s">
        <v>176</v>
      </c>
      <c r="C43" s="18" t="s">
        <v>1074</v>
      </c>
      <c r="D43" s="18" t="s">
        <v>17</v>
      </c>
      <c r="E43" s="18" t="s">
        <v>177</v>
      </c>
      <c r="F43" s="18" t="s">
        <v>1075</v>
      </c>
      <c r="G43" s="18" t="s">
        <v>101</v>
      </c>
      <c r="H43" s="18" t="s">
        <v>1076</v>
      </c>
      <c r="I43" s="18" t="s">
        <v>909</v>
      </c>
      <c r="J43" s="18" t="s">
        <v>909</v>
      </c>
      <c r="K43" s="18" t="s">
        <v>1077</v>
      </c>
      <c r="L43" s="18" t="s">
        <v>1078</v>
      </c>
      <c r="M43" s="18" t="s">
        <v>40</v>
      </c>
      <c r="N43" s="18" t="s">
        <v>65</v>
      </c>
      <c r="O43" s="18" t="s">
        <v>41</v>
      </c>
    </row>
    <row r="44" spans="1:15" x14ac:dyDescent="0.3">
      <c r="A44" s="18" t="s">
        <v>178</v>
      </c>
      <c r="B44" s="18" t="s">
        <v>179</v>
      </c>
      <c r="C44" s="18" t="s">
        <v>1079</v>
      </c>
      <c r="D44" s="18" t="s">
        <v>51</v>
      </c>
      <c r="E44" s="18" t="s">
        <v>84</v>
      </c>
      <c r="F44" s="18" t="s">
        <v>19</v>
      </c>
      <c r="G44" s="18" t="s">
        <v>20</v>
      </c>
      <c r="H44" s="18" t="s">
        <v>1080</v>
      </c>
      <c r="I44" s="18" t="s">
        <v>979</v>
      </c>
      <c r="J44" s="18" t="s">
        <v>180</v>
      </c>
      <c r="K44" s="18" t="s">
        <v>181</v>
      </c>
      <c r="L44" s="18" t="s">
        <v>1081</v>
      </c>
      <c r="M44" s="18" t="s">
        <v>23</v>
      </c>
      <c r="N44" s="18" t="s">
        <v>61</v>
      </c>
      <c r="O44" s="18" t="s">
        <v>938</v>
      </c>
    </row>
    <row r="45" spans="1:15" x14ac:dyDescent="0.3">
      <c r="A45" s="18" t="s">
        <v>182</v>
      </c>
      <c r="B45" s="18" t="s">
        <v>183</v>
      </c>
      <c r="C45" s="18" t="s">
        <v>1082</v>
      </c>
      <c r="D45" s="18" t="s">
        <v>17</v>
      </c>
      <c r="E45" s="18" t="s">
        <v>84</v>
      </c>
      <c r="F45" s="18" t="s">
        <v>934</v>
      </c>
      <c r="G45" s="18" t="s">
        <v>909</v>
      </c>
      <c r="H45" s="18" t="s">
        <v>1083</v>
      </c>
      <c r="I45" s="18" t="s">
        <v>909</v>
      </c>
      <c r="J45" s="18" t="s">
        <v>184</v>
      </c>
      <c r="K45" s="18" t="s">
        <v>59</v>
      </c>
      <c r="L45" s="18" t="s">
        <v>1084</v>
      </c>
      <c r="M45" s="18" t="s">
        <v>72</v>
      </c>
      <c r="N45" s="18" t="s">
        <v>33</v>
      </c>
      <c r="O45" s="18" t="s">
        <v>41</v>
      </c>
    </row>
    <row r="46" spans="1:15" x14ac:dyDescent="0.3">
      <c r="A46" s="18" t="s">
        <v>185</v>
      </c>
      <c r="B46" s="18" t="s">
        <v>186</v>
      </c>
      <c r="C46" s="18" t="s">
        <v>1085</v>
      </c>
      <c r="D46" s="18" t="s">
        <v>17</v>
      </c>
      <c r="E46" s="18" t="s">
        <v>84</v>
      </c>
      <c r="F46" s="18" t="s">
        <v>44</v>
      </c>
      <c r="G46" s="18" t="s">
        <v>909</v>
      </c>
      <c r="H46" s="18" t="s">
        <v>958</v>
      </c>
      <c r="I46" s="18" t="s">
        <v>909</v>
      </c>
      <c r="J46" s="18" t="s">
        <v>154</v>
      </c>
      <c r="K46" s="18" t="s">
        <v>155</v>
      </c>
      <c r="L46" s="18" t="s">
        <v>1086</v>
      </c>
      <c r="M46" s="18" t="s">
        <v>47</v>
      </c>
      <c r="N46" s="18" t="s">
        <v>991</v>
      </c>
      <c r="O46" s="18" t="s">
        <v>41</v>
      </c>
    </row>
    <row r="47" spans="1:15" x14ac:dyDescent="0.3">
      <c r="A47" s="18" t="s">
        <v>187</v>
      </c>
      <c r="B47" s="18" t="s">
        <v>1087</v>
      </c>
      <c r="C47" s="18" t="s">
        <v>1009</v>
      </c>
      <c r="D47" s="18" t="s">
        <v>51</v>
      </c>
      <c r="E47" s="18" t="s">
        <v>86</v>
      </c>
      <c r="F47" s="18" t="s">
        <v>38</v>
      </c>
      <c r="G47" s="18" t="s">
        <v>125</v>
      </c>
      <c r="H47" s="18" t="s">
        <v>1088</v>
      </c>
      <c r="I47" s="18" t="s">
        <v>1089</v>
      </c>
      <c r="J47" s="18" t="s">
        <v>916</v>
      </c>
      <c r="K47" s="18" t="s">
        <v>39</v>
      </c>
      <c r="L47" s="18" t="s">
        <v>1090</v>
      </c>
      <c r="M47" s="18" t="s">
        <v>32</v>
      </c>
      <c r="N47" s="18" t="s">
        <v>61</v>
      </c>
      <c r="O47" s="18" t="s">
        <v>93</v>
      </c>
    </row>
    <row r="48" spans="1:15" x14ac:dyDescent="0.3">
      <c r="A48" s="18" t="s">
        <v>188</v>
      </c>
      <c r="B48" s="18" t="s">
        <v>127</v>
      </c>
      <c r="C48" s="18" t="s">
        <v>1091</v>
      </c>
      <c r="D48" s="18" t="s">
        <v>51</v>
      </c>
      <c r="E48" s="18" t="s">
        <v>111</v>
      </c>
      <c r="F48" s="18" t="s">
        <v>28</v>
      </c>
      <c r="G48" s="18" t="s">
        <v>1092</v>
      </c>
      <c r="H48" s="18" t="s">
        <v>1093</v>
      </c>
      <c r="I48" s="18" t="s">
        <v>1094</v>
      </c>
      <c r="J48" s="18" t="s">
        <v>189</v>
      </c>
      <c r="K48" s="18" t="s">
        <v>1077</v>
      </c>
      <c r="L48" s="18" t="s">
        <v>1095</v>
      </c>
      <c r="M48" s="18" t="s">
        <v>23</v>
      </c>
      <c r="N48" s="18" t="s">
        <v>65</v>
      </c>
      <c r="O48" s="18" t="s">
        <v>25</v>
      </c>
    </row>
    <row r="49" spans="1:15" x14ac:dyDescent="0.3">
      <c r="A49" s="18" t="s">
        <v>190</v>
      </c>
      <c r="B49" s="18" t="s">
        <v>191</v>
      </c>
      <c r="C49" s="18" t="s">
        <v>1096</v>
      </c>
      <c r="D49" s="18" t="s">
        <v>51</v>
      </c>
      <c r="E49" s="18" t="s">
        <v>68</v>
      </c>
      <c r="F49" s="18" t="s">
        <v>87</v>
      </c>
      <c r="G49" s="18" t="s">
        <v>88</v>
      </c>
      <c r="H49" s="18" t="s">
        <v>1097</v>
      </c>
      <c r="I49" s="18" t="s">
        <v>1098</v>
      </c>
      <c r="J49" s="18" t="s">
        <v>192</v>
      </c>
      <c r="K49" s="18" t="s">
        <v>193</v>
      </c>
      <c r="L49" s="18" t="s">
        <v>1099</v>
      </c>
      <c r="M49" s="18" t="s">
        <v>99</v>
      </c>
      <c r="N49" s="18" t="s">
        <v>33</v>
      </c>
      <c r="O49" s="18" t="s">
        <v>938</v>
      </c>
    </row>
    <row r="50" spans="1:15" x14ac:dyDescent="0.3">
      <c r="A50" s="18" t="s">
        <v>1100</v>
      </c>
      <c r="B50" s="18" t="s">
        <v>1101</v>
      </c>
      <c r="C50" s="18" t="s">
        <v>907</v>
      </c>
      <c r="D50" s="18" t="s">
        <v>51</v>
      </c>
      <c r="E50" s="18" t="s">
        <v>111</v>
      </c>
      <c r="F50" s="18" t="s">
        <v>44</v>
      </c>
      <c r="G50" s="18" t="s">
        <v>153</v>
      </c>
      <c r="H50" s="18" t="s">
        <v>1102</v>
      </c>
      <c r="I50" s="18" t="s">
        <v>1103</v>
      </c>
      <c r="J50" s="18" t="s">
        <v>1104</v>
      </c>
      <c r="K50" s="18" t="s">
        <v>46</v>
      </c>
      <c r="L50" s="18" t="s">
        <v>1105</v>
      </c>
      <c r="M50" s="18" t="s">
        <v>32</v>
      </c>
      <c r="N50" s="18" t="s">
        <v>33</v>
      </c>
      <c r="O50" s="18" t="s">
        <v>938</v>
      </c>
    </row>
    <row r="51" spans="1:15" x14ac:dyDescent="0.3">
      <c r="A51" s="18" t="s">
        <v>1106</v>
      </c>
      <c r="B51" s="18" t="s">
        <v>194</v>
      </c>
      <c r="C51" s="18" t="s">
        <v>1107</v>
      </c>
      <c r="D51" s="18" t="s">
        <v>51</v>
      </c>
      <c r="E51" s="18" t="s">
        <v>124</v>
      </c>
      <c r="F51" s="18" t="s">
        <v>28</v>
      </c>
      <c r="G51" s="18" t="s">
        <v>195</v>
      </c>
      <c r="H51" s="18" t="s">
        <v>1108</v>
      </c>
      <c r="I51" s="18" t="s">
        <v>909</v>
      </c>
      <c r="J51" s="18" t="s">
        <v>75</v>
      </c>
      <c r="K51" s="18" t="s">
        <v>76</v>
      </c>
      <c r="L51" s="18" t="s">
        <v>1109</v>
      </c>
      <c r="M51" s="18" t="s">
        <v>32</v>
      </c>
      <c r="N51" s="18" t="s">
        <v>61</v>
      </c>
      <c r="O51" s="18" t="s">
        <v>41</v>
      </c>
    </row>
    <row r="52" spans="1:15" x14ac:dyDescent="0.3">
      <c r="A52" s="18" t="s">
        <v>196</v>
      </c>
      <c r="B52" s="18" t="s">
        <v>197</v>
      </c>
      <c r="C52" s="18" t="s">
        <v>968</v>
      </c>
      <c r="D52" s="18" t="s">
        <v>17</v>
      </c>
      <c r="E52" s="18" t="s">
        <v>111</v>
      </c>
      <c r="F52" s="18" t="s">
        <v>132</v>
      </c>
      <c r="G52" s="18" t="s">
        <v>1110</v>
      </c>
      <c r="H52" s="18" t="s">
        <v>1111</v>
      </c>
      <c r="I52" s="18" t="s">
        <v>1112</v>
      </c>
      <c r="J52" s="18" t="s">
        <v>139</v>
      </c>
      <c r="K52" s="18" t="s">
        <v>140</v>
      </c>
      <c r="L52" s="18" t="s">
        <v>1113</v>
      </c>
      <c r="M52" s="18" t="s">
        <v>72</v>
      </c>
      <c r="N52" s="18" t="s">
        <v>61</v>
      </c>
      <c r="O52" s="18" t="s">
        <v>1114</v>
      </c>
    </row>
    <row r="53" spans="1:15" x14ac:dyDescent="0.3">
      <c r="A53" s="18" t="s">
        <v>198</v>
      </c>
      <c r="B53" s="18" t="s">
        <v>199</v>
      </c>
      <c r="C53" s="18" t="s">
        <v>1115</v>
      </c>
      <c r="D53" s="18" t="s">
        <v>17</v>
      </c>
      <c r="E53" s="18" t="s">
        <v>68</v>
      </c>
      <c r="F53" s="18" t="s">
        <v>53</v>
      </c>
      <c r="G53" s="18" t="s">
        <v>54</v>
      </c>
      <c r="H53" s="18" t="s">
        <v>1116</v>
      </c>
      <c r="I53" s="18" t="s">
        <v>1117</v>
      </c>
      <c r="J53" s="18" t="s">
        <v>200</v>
      </c>
      <c r="K53" s="18" t="s">
        <v>201</v>
      </c>
      <c r="L53" s="18" t="s">
        <v>1118</v>
      </c>
      <c r="M53" s="18" t="s">
        <v>23</v>
      </c>
      <c r="N53" s="18" t="s">
        <v>1119</v>
      </c>
      <c r="O53" s="18" t="s">
        <v>25</v>
      </c>
    </row>
    <row r="54" spans="1:15" x14ac:dyDescent="0.3">
      <c r="A54" s="18" t="s">
        <v>202</v>
      </c>
      <c r="B54" s="18" t="s">
        <v>119</v>
      </c>
      <c r="C54" s="18" t="s">
        <v>909</v>
      </c>
      <c r="D54" s="18" t="s">
        <v>17</v>
      </c>
      <c r="E54" s="18" t="s">
        <v>43</v>
      </c>
      <c r="F54" s="18" t="s">
        <v>132</v>
      </c>
      <c r="G54" s="18" t="s">
        <v>138</v>
      </c>
      <c r="H54" s="18" t="s">
        <v>1120</v>
      </c>
      <c r="I54" s="18" t="s">
        <v>1121</v>
      </c>
      <c r="J54" s="18" t="s">
        <v>139</v>
      </c>
      <c r="K54" s="18" t="s">
        <v>140</v>
      </c>
      <c r="L54" s="18" t="s">
        <v>1122</v>
      </c>
      <c r="M54" s="18" t="s">
        <v>99</v>
      </c>
      <c r="N54" s="18" t="s">
        <v>65</v>
      </c>
      <c r="O54" s="18" t="s">
        <v>34</v>
      </c>
    </row>
    <row r="55" spans="1:15" x14ac:dyDescent="0.3">
      <c r="A55" s="18" t="s">
        <v>203</v>
      </c>
      <c r="B55" s="18" t="s">
        <v>1123</v>
      </c>
      <c r="C55" s="18" t="s">
        <v>1082</v>
      </c>
      <c r="D55" s="18" t="s">
        <v>17</v>
      </c>
      <c r="E55" s="18" t="s">
        <v>86</v>
      </c>
      <c r="F55" s="18" t="s">
        <v>1124</v>
      </c>
      <c r="G55" s="18" t="s">
        <v>45</v>
      </c>
      <c r="H55" s="18" t="s">
        <v>1125</v>
      </c>
      <c r="I55" s="18" t="s">
        <v>1126</v>
      </c>
      <c r="J55" s="18" t="s">
        <v>922</v>
      </c>
      <c r="K55" s="18" t="s">
        <v>46</v>
      </c>
      <c r="L55" s="18" t="s">
        <v>1127</v>
      </c>
      <c r="M55" s="18" t="s">
        <v>60</v>
      </c>
      <c r="N55" s="18" t="s">
        <v>1128</v>
      </c>
      <c r="O55" s="18" t="s">
        <v>909</v>
      </c>
    </row>
    <row r="56" spans="1:15" x14ac:dyDescent="0.3">
      <c r="A56" s="18" t="s">
        <v>204</v>
      </c>
      <c r="B56" s="18" t="s">
        <v>205</v>
      </c>
      <c r="C56" s="18" t="s">
        <v>1129</v>
      </c>
      <c r="D56" s="18" t="s">
        <v>51</v>
      </c>
      <c r="E56" s="18" t="s">
        <v>1025</v>
      </c>
      <c r="F56" s="18" t="s">
        <v>19</v>
      </c>
      <c r="G56" s="18" t="s">
        <v>20</v>
      </c>
      <c r="H56" s="18" t="s">
        <v>1130</v>
      </c>
      <c r="I56" s="18" t="s">
        <v>909</v>
      </c>
      <c r="J56" s="18" t="s">
        <v>180</v>
      </c>
      <c r="K56" s="18" t="s">
        <v>181</v>
      </c>
      <c r="L56" s="18" t="s">
        <v>1131</v>
      </c>
      <c r="M56" s="18" t="s">
        <v>60</v>
      </c>
      <c r="N56" s="18" t="s">
        <v>48</v>
      </c>
      <c r="O56" s="18" t="s">
        <v>41</v>
      </c>
    </row>
    <row r="57" spans="1:15" x14ac:dyDescent="0.3">
      <c r="A57" s="18" t="s">
        <v>206</v>
      </c>
      <c r="B57" s="18" t="s">
        <v>207</v>
      </c>
      <c r="C57" s="18" t="s">
        <v>1132</v>
      </c>
      <c r="D57" s="18" t="s">
        <v>17</v>
      </c>
      <c r="E57" s="18" t="s">
        <v>124</v>
      </c>
      <c r="F57" s="18" t="s">
        <v>1075</v>
      </c>
      <c r="G57" s="18" t="s">
        <v>101</v>
      </c>
      <c r="H57" s="18" t="s">
        <v>969</v>
      </c>
      <c r="I57" s="18" t="s">
        <v>909</v>
      </c>
      <c r="J57" s="18" t="s">
        <v>102</v>
      </c>
      <c r="K57" s="18" t="s">
        <v>103</v>
      </c>
      <c r="L57" s="18" t="s">
        <v>1133</v>
      </c>
      <c r="M57" s="18" t="s">
        <v>47</v>
      </c>
      <c r="N57" s="18" t="s">
        <v>33</v>
      </c>
      <c r="O57" s="18" t="s">
        <v>41</v>
      </c>
    </row>
    <row r="58" spans="1:15" x14ac:dyDescent="0.3">
      <c r="A58" s="18" t="s">
        <v>208</v>
      </c>
      <c r="B58" s="18" t="s">
        <v>209</v>
      </c>
      <c r="C58" s="18" t="s">
        <v>1115</v>
      </c>
      <c r="D58" s="18" t="s">
        <v>17</v>
      </c>
      <c r="E58" s="18" t="s">
        <v>86</v>
      </c>
      <c r="F58" s="18" t="s">
        <v>53</v>
      </c>
      <c r="G58" s="18" t="s">
        <v>143</v>
      </c>
      <c r="H58" s="18" t="s">
        <v>1134</v>
      </c>
      <c r="I58" s="18" t="s">
        <v>1135</v>
      </c>
      <c r="J58" s="18" t="s">
        <v>200</v>
      </c>
      <c r="K58" s="18" t="s">
        <v>909</v>
      </c>
      <c r="L58" s="18" t="s">
        <v>1136</v>
      </c>
      <c r="M58" s="18" t="s">
        <v>47</v>
      </c>
      <c r="N58" s="18" t="s">
        <v>33</v>
      </c>
      <c r="O58" s="18" t="s">
        <v>25</v>
      </c>
    </row>
    <row r="59" spans="1:15" x14ac:dyDescent="0.3">
      <c r="A59" s="18" t="s">
        <v>210</v>
      </c>
      <c r="B59" s="18" t="s">
        <v>211</v>
      </c>
      <c r="C59" s="18" t="s">
        <v>1137</v>
      </c>
      <c r="D59" s="18" t="s">
        <v>51</v>
      </c>
      <c r="E59" s="18" t="s">
        <v>64</v>
      </c>
      <c r="F59" s="18" t="s">
        <v>1138</v>
      </c>
      <c r="G59" s="18" t="s">
        <v>54</v>
      </c>
      <c r="H59" s="18" t="s">
        <v>1139</v>
      </c>
      <c r="I59" s="18" t="s">
        <v>909</v>
      </c>
      <c r="J59" s="18" t="s">
        <v>70</v>
      </c>
      <c r="K59" s="18" t="s">
        <v>71</v>
      </c>
      <c r="L59" s="18" t="s">
        <v>1140</v>
      </c>
      <c r="M59" s="18" t="s">
        <v>40</v>
      </c>
      <c r="N59" s="18" t="s">
        <v>61</v>
      </c>
      <c r="O59" s="18" t="s">
        <v>93</v>
      </c>
    </row>
    <row r="60" spans="1:15" x14ac:dyDescent="0.3">
      <c r="A60" s="18" t="s">
        <v>212</v>
      </c>
      <c r="B60" s="18" t="s">
        <v>213</v>
      </c>
      <c r="C60" s="18" t="s">
        <v>1141</v>
      </c>
      <c r="D60" s="18" t="s">
        <v>1142</v>
      </c>
      <c r="E60" s="18" t="s">
        <v>37</v>
      </c>
      <c r="F60" s="18" t="s">
        <v>44</v>
      </c>
      <c r="G60" s="18" t="s">
        <v>45</v>
      </c>
      <c r="H60" s="18" t="s">
        <v>1143</v>
      </c>
      <c r="I60" s="18" t="s">
        <v>909</v>
      </c>
      <c r="J60" s="18" t="s">
        <v>922</v>
      </c>
      <c r="K60" s="18" t="s">
        <v>46</v>
      </c>
      <c r="L60" s="18" t="s">
        <v>1144</v>
      </c>
      <c r="M60" s="18" t="s">
        <v>40</v>
      </c>
      <c r="N60" s="18" t="s">
        <v>65</v>
      </c>
      <c r="O60" s="18" t="s">
        <v>41</v>
      </c>
    </row>
    <row r="61" spans="1:15" x14ac:dyDescent="0.3">
      <c r="A61" s="18" t="s">
        <v>1145</v>
      </c>
      <c r="B61" s="18" t="s">
        <v>214</v>
      </c>
      <c r="C61" s="18" t="s">
        <v>1115</v>
      </c>
      <c r="D61" s="18" t="s">
        <v>51</v>
      </c>
      <c r="E61" s="18" t="s">
        <v>43</v>
      </c>
      <c r="F61" s="18" t="s">
        <v>87</v>
      </c>
      <c r="G61" s="18" t="s">
        <v>112</v>
      </c>
      <c r="H61" s="18" t="s">
        <v>1146</v>
      </c>
      <c r="I61" s="18" t="s">
        <v>1147</v>
      </c>
      <c r="J61" s="18" t="s">
        <v>192</v>
      </c>
      <c r="K61" s="18" t="s">
        <v>193</v>
      </c>
      <c r="L61" s="18" t="s">
        <v>1148</v>
      </c>
      <c r="M61" s="18" t="s">
        <v>72</v>
      </c>
      <c r="N61" s="18" t="s">
        <v>48</v>
      </c>
      <c r="O61" s="18" t="s">
        <v>93</v>
      </c>
    </row>
    <row r="62" spans="1:15" x14ac:dyDescent="0.3">
      <c r="A62" s="18" t="s">
        <v>215</v>
      </c>
      <c r="B62" s="18" t="s">
        <v>199</v>
      </c>
      <c r="C62" s="18" t="s">
        <v>961</v>
      </c>
      <c r="D62" s="18" t="s">
        <v>96</v>
      </c>
      <c r="E62" s="18" t="s">
        <v>1025</v>
      </c>
      <c r="F62" s="18" t="s">
        <v>87</v>
      </c>
      <c r="G62" s="18" t="s">
        <v>1149</v>
      </c>
      <c r="H62" s="18" t="s">
        <v>1150</v>
      </c>
      <c r="I62" s="18" t="s">
        <v>1151</v>
      </c>
      <c r="J62" s="18" t="s">
        <v>216</v>
      </c>
      <c r="K62" s="18" t="s">
        <v>1152</v>
      </c>
      <c r="L62" s="18" t="s">
        <v>1153</v>
      </c>
      <c r="M62" s="18" t="s">
        <v>60</v>
      </c>
      <c r="N62" s="18" t="s">
        <v>65</v>
      </c>
      <c r="O62" s="18" t="s">
        <v>25</v>
      </c>
    </row>
    <row r="63" spans="1:15" x14ac:dyDescent="0.3">
      <c r="A63" s="18" t="s">
        <v>217</v>
      </c>
      <c r="B63" s="18" t="s">
        <v>218</v>
      </c>
      <c r="C63" s="18" t="s">
        <v>1154</v>
      </c>
      <c r="D63" s="18" t="s">
        <v>17</v>
      </c>
      <c r="E63" s="18" t="s">
        <v>124</v>
      </c>
      <c r="F63" s="18" t="s">
        <v>909</v>
      </c>
      <c r="G63" s="18" t="s">
        <v>167</v>
      </c>
      <c r="H63" s="18" t="s">
        <v>1155</v>
      </c>
      <c r="I63" s="18" t="s">
        <v>909</v>
      </c>
      <c r="J63" s="18" t="s">
        <v>916</v>
      </c>
      <c r="K63" s="18" t="s">
        <v>39</v>
      </c>
      <c r="L63" s="18" t="s">
        <v>1156</v>
      </c>
      <c r="M63" s="18" t="s">
        <v>47</v>
      </c>
      <c r="N63" s="18" t="s">
        <v>48</v>
      </c>
      <c r="O63" s="18" t="s">
        <v>41</v>
      </c>
    </row>
    <row r="64" spans="1:15" x14ac:dyDescent="0.3">
      <c r="A64" s="18" t="s">
        <v>219</v>
      </c>
      <c r="B64" s="18" t="s">
        <v>220</v>
      </c>
      <c r="C64" s="18" t="s">
        <v>999</v>
      </c>
      <c r="D64" s="18" t="s">
        <v>909</v>
      </c>
      <c r="E64" s="18" t="s">
        <v>68</v>
      </c>
      <c r="F64" s="18" t="s">
        <v>44</v>
      </c>
      <c r="G64" s="18" t="s">
        <v>221</v>
      </c>
      <c r="H64" s="18" t="s">
        <v>1157</v>
      </c>
      <c r="I64" s="18" t="s">
        <v>1158</v>
      </c>
      <c r="J64" s="18" t="s">
        <v>154</v>
      </c>
      <c r="K64" s="18" t="s">
        <v>155</v>
      </c>
      <c r="L64" s="18" t="s">
        <v>1159</v>
      </c>
      <c r="M64" s="18" t="s">
        <v>99</v>
      </c>
      <c r="N64" s="18" t="s">
        <v>48</v>
      </c>
      <c r="O64" s="18" t="s">
        <v>938</v>
      </c>
    </row>
    <row r="65" spans="1:15" x14ac:dyDescent="0.3">
      <c r="A65" s="18" t="s">
        <v>222</v>
      </c>
      <c r="B65" s="18" t="s">
        <v>16</v>
      </c>
      <c r="C65" s="18" t="s">
        <v>909</v>
      </c>
      <c r="D65" s="18" t="s">
        <v>17</v>
      </c>
      <c r="E65" s="18" t="s">
        <v>124</v>
      </c>
      <c r="F65" s="18" t="s">
        <v>132</v>
      </c>
      <c r="G65" s="18" t="s">
        <v>223</v>
      </c>
      <c r="H65" s="18" t="s">
        <v>1160</v>
      </c>
      <c r="I65" s="18" t="s">
        <v>945</v>
      </c>
      <c r="J65" s="18" t="s">
        <v>134</v>
      </c>
      <c r="K65" s="18" t="s">
        <v>135</v>
      </c>
      <c r="L65" s="18" t="s">
        <v>1161</v>
      </c>
      <c r="M65" s="18" t="s">
        <v>32</v>
      </c>
      <c r="N65" s="18" t="s">
        <v>65</v>
      </c>
      <c r="O65" s="18" t="s">
        <v>93</v>
      </c>
    </row>
    <row r="66" spans="1:15" x14ac:dyDescent="0.3">
      <c r="A66" s="18" t="s">
        <v>224</v>
      </c>
      <c r="B66" s="18" t="s">
        <v>225</v>
      </c>
      <c r="C66" s="18" t="s">
        <v>909</v>
      </c>
      <c r="D66" s="18" t="s">
        <v>17</v>
      </c>
      <c r="E66" s="18" t="s">
        <v>64</v>
      </c>
      <c r="F66" s="18" t="s">
        <v>38</v>
      </c>
      <c r="G66" s="18" t="s">
        <v>79</v>
      </c>
      <c r="H66" s="18" t="s">
        <v>1162</v>
      </c>
      <c r="I66" s="18" t="s">
        <v>1163</v>
      </c>
      <c r="J66" s="18" t="s">
        <v>97</v>
      </c>
      <c r="K66" s="18" t="s">
        <v>98</v>
      </c>
      <c r="L66" s="18" t="s">
        <v>909</v>
      </c>
      <c r="M66" s="18" t="s">
        <v>32</v>
      </c>
      <c r="N66" s="18" t="s">
        <v>61</v>
      </c>
      <c r="O66" s="18" t="s">
        <v>938</v>
      </c>
    </row>
    <row r="67" spans="1:15" x14ac:dyDescent="0.3">
      <c r="A67" s="18" t="s">
        <v>226</v>
      </c>
      <c r="B67" s="18" t="s">
        <v>199</v>
      </c>
      <c r="C67" s="18" t="s">
        <v>1164</v>
      </c>
      <c r="D67" s="18" t="s">
        <v>17</v>
      </c>
      <c r="E67" s="18" t="s">
        <v>86</v>
      </c>
      <c r="F67" s="18" t="s">
        <v>38</v>
      </c>
      <c r="G67" s="18" t="s">
        <v>125</v>
      </c>
      <c r="H67" s="18" t="s">
        <v>1165</v>
      </c>
      <c r="I67" s="18" t="s">
        <v>909</v>
      </c>
      <c r="J67" s="18" t="s">
        <v>184</v>
      </c>
      <c r="K67" s="18" t="s">
        <v>59</v>
      </c>
      <c r="L67" s="18" t="s">
        <v>1166</v>
      </c>
      <c r="M67" s="18" t="s">
        <v>72</v>
      </c>
      <c r="N67" s="18" t="s">
        <v>24</v>
      </c>
      <c r="O67" s="18" t="s">
        <v>41</v>
      </c>
    </row>
    <row r="68" spans="1:15" x14ac:dyDescent="0.3">
      <c r="A68" s="18" t="s">
        <v>227</v>
      </c>
      <c r="B68" s="18" t="s">
        <v>228</v>
      </c>
      <c r="C68" s="18" t="s">
        <v>986</v>
      </c>
      <c r="D68" s="18" t="s">
        <v>920</v>
      </c>
      <c r="E68" s="18" t="s">
        <v>64</v>
      </c>
      <c r="F68" s="18" t="s">
        <v>38</v>
      </c>
      <c r="G68" s="18" t="s">
        <v>125</v>
      </c>
      <c r="H68" s="18" t="s">
        <v>1167</v>
      </c>
      <c r="I68" s="18" t="s">
        <v>1168</v>
      </c>
      <c r="J68" s="18" t="s">
        <v>916</v>
      </c>
      <c r="K68" s="18" t="s">
        <v>39</v>
      </c>
      <c r="L68" s="18" t="s">
        <v>1169</v>
      </c>
      <c r="M68" s="18" t="s">
        <v>99</v>
      </c>
      <c r="N68" s="18" t="s">
        <v>65</v>
      </c>
      <c r="O68" s="18" t="s">
        <v>25</v>
      </c>
    </row>
    <row r="69" spans="1:15" x14ac:dyDescent="0.3">
      <c r="A69" s="18" t="s">
        <v>229</v>
      </c>
      <c r="B69" s="18" t="s">
        <v>909</v>
      </c>
      <c r="C69" s="18" t="s">
        <v>1170</v>
      </c>
      <c r="D69" s="18" t="s">
        <v>51</v>
      </c>
      <c r="E69" s="18" t="s">
        <v>909</v>
      </c>
      <c r="F69" s="18" t="s">
        <v>28</v>
      </c>
      <c r="G69" s="18" t="s">
        <v>195</v>
      </c>
      <c r="H69" s="18" t="s">
        <v>1171</v>
      </c>
      <c r="I69" s="18" t="s">
        <v>1172</v>
      </c>
      <c r="J69" s="18" t="s">
        <v>189</v>
      </c>
      <c r="K69" s="18" t="s">
        <v>1077</v>
      </c>
      <c r="L69" s="18" t="s">
        <v>1173</v>
      </c>
      <c r="M69" s="18" t="s">
        <v>40</v>
      </c>
      <c r="N69" s="18" t="s">
        <v>24</v>
      </c>
      <c r="O69" s="18" t="s">
        <v>25</v>
      </c>
    </row>
    <row r="70" spans="1:15" x14ac:dyDescent="0.3">
      <c r="A70" s="18" t="s">
        <v>230</v>
      </c>
      <c r="B70" s="18" t="s">
        <v>231</v>
      </c>
      <c r="C70" s="18" t="s">
        <v>961</v>
      </c>
      <c r="D70" s="18" t="s">
        <v>17</v>
      </c>
      <c r="E70" s="18" t="s">
        <v>18</v>
      </c>
      <c r="F70" s="18" t="s">
        <v>44</v>
      </c>
      <c r="G70" s="18" t="s">
        <v>909</v>
      </c>
      <c r="H70" s="18" t="s">
        <v>1054</v>
      </c>
      <c r="I70" s="18" t="s">
        <v>909</v>
      </c>
      <c r="J70" s="18" t="s">
        <v>232</v>
      </c>
      <c r="K70" s="18" t="s">
        <v>160</v>
      </c>
      <c r="L70" s="18" t="s">
        <v>1174</v>
      </c>
      <c r="M70" s="18" t="s">
        <v>909</v>
      </c>
      <c r="N70" s="18" t="s">
        <v>61</v>
      </c>
      <c r="O70" s="18" t="s">
        <v>41</v>
      </c>
    </row>
    <row r="71" spans="1:15" x14ac:dyDescent="0.3">
      <c r="A71" s="18" t="s">
        <v>233</v>
      </c>
      <c r="B71" s="18" t="s">
        <v>234</v>
      </c>
      <c r="C71" s="18" t="s">
        <v>1175</v>
      </c>
      <c r="D71" s="18" t="s">
        <v>51</v>
      </c>
      <c r="E71" s="18" t="s">
        <v>84</v>
      </c>
      <c r="F71" s="18" t="s">
        <v>132</v>
      </c>
      <c r="G71" s="18" t="s">
        <v>138</v>
      </c>
      <c r="H71" s="18" t="s">
        <v>1176</v>
      </c>
      <c r="I71" s="18" t="s">
        <v>1177</v>
      </c>
      <c r="J71" s="18" t="s">
        <v>139</v>
      </c>
      <c r="K71" s="18" t="s">
        <v>140</v>
      </c>
      <c r="L71" s="18" t="s">
        <v>1178</v>
      </c>
      <c r="M71" s="18" t="s">
        <v>72</v>
      </c>
      <c r="N71" s="18" t="s">
        <v>61</v>
      </c>
      <c r="O71" s="18" t="s">
        <v>1045</v>
      </c>
    </row>
    <row r="72" spans="1:15" x14ac:dyDescent="0.3">
      <c r="A72" s="18" t="s">
        <v>235</v>
      </c>
      <c r="B72" s="18" t="s">
        <v>236</v>
      </c>
      <c r="C72" s="18" t="s">
        <v>1179</v>
      </c>
      <c r="D72" s="18" t="s">
        <v>51</v>
      </c>
      <c r="E72" s="18" t="s">
        <v>86</v>
      </c>
      <c r="F72" s="18" t="s">
        <v>53</v>
      </c>
      <c r="G72" s="18" t="s">
        <v>54</v>
      </c>
      <c r="H72" s="18" t="s">
        <v>1180</v>
      </c>
      <c r="I72" s="18" t="s">
        <v>1181</v>
      </c>
      <c r="J72" s="18" t="s">
        <v>200</v>
      </c>
      <c r="K72" s="18" t="s">
        <v>201</v>
      </c>
      <c r="L72" s="18" t="s">
        <v>1182</v>
      </c>
      <c r="M72" s="18" t="s">
        <v>60</v>
      </c>
      <c r="N72" s="18" t="s">
        <v>65</v>
      </c>
      <c r="O72" s="18" t="s">
        <v>1114</v>
      </c>
    </row>
    <row r="73" spans="1:15" x14ac:dyDescent="0.3">
      <c r="A73" s="18" t="s">
        <v>237</v>
      </c>
      <c r="B73" s="18" t="s">
        <v>909</v>
      </c>
      <c r="C73" s="18" t="s">
        <v>909</v>
      </c>
      <c r="D73" s="18" t="s">
        <v>17</v>
      </c>
      <c r="E73" s="18" t="s">
        <v>37</v>
      </c>
      <c r="F73" s="18" t="s">
        <v>934</v>
      </c>
      <c r="G73" s="18" t="s">
        <v>167</v>
      </c>
      <c r="H73" s="18" t="s">
        <v>1183</v>
      </c>
      <c r="I73" s="18" t="s">
        <v>1184</v>
      </c>
      <c r="J73" s="18" t="s">
        <v>916</v>
      </c>
      <c r="K73" s="18" t="s">
        <v>39</v>
      </c>
      <c r="L73" s="18" t="s">
        <v>1185</v>
      </c>
      <c r="M73" s="18" t="s">
        <v>99</v>
      </c>
      <c r="N73" s="18" t="s">
        <v>65</v>
      </c>
      <c r="O73" s="18" t="s">
        <v>985</v>
      </c>
    </row>
    <row r="74" spans="1:15" x14ac:dyDescent="0.3">
      <c r="A74" s="18" t="s">
        <v>238</v>
      </c>
      <c r="B74" s="18" t="s">
        <v>231</v>
      </c>
      <c r="C74" s="18" t="s">
        <v>1186</v>
      </c>
      <c r="D74" s="18" t="s">
        <v>1142</v>
      </c>
      <c r="E74" s="18" t="s">
        <v>111</v>
      </c>
      <c r="F74" s="18" t="s">
        <v>909</v>
      </c>
      <c r="G74" s="18" t="s">
        <v>167</v>
      </c>
      <c r="H74" s="18" t="s">
        <v>1187</v>
      </c>
      <c r="I74" s="18" t="s">
        <v>909</v>
      </c>
      <c r="J74" s="18" t="s">
        <v>916</v>
      </c>
      <c r="K74" s="18" t="s">
        <v>39</v>
      </c>
      <c r="L74" s="18" t="s">
        <v>1188</v>
      </c>
      <c r="M74" s="18" t="s">
        <v>47</v>
      </c>
      <c r="N74" s="18" t="s">
        <v>24</v>
      </c>
      <c r="O74" s="18" t="s">
        <v>41</v>
      </c>
    </row>
    <row r="75" spans="1:15" x14ac:dyDescent="0.3">
      <c r="A75" s="18" t="s">
        <v>239</v>
      </c>
      <c r="B75" s="18" t="s">
        <v>240</v>
      </c>
      <c r="C75" s="18" t="s">
        <v>1186</v>
      </c>
      <c r="D75" s="18" t="s">
        <v>51</v>
      </c>
      <c r="E75" s="18" t="s">
        <v>909</v>
      </c>
      <c r="F75" s="18" t="s">
        <v>28</v>
      </c>
      <c r="G75" s="18" t="s">
        <v>29</v>
      </c>
      <c r="H75" s="18" t="s">
        <v>1189</v>
      </c>
      <c r="I75" s="18" t="s">
        <v>1190</v>
      </c>
      <c r="J75" s="18" t="s">
        <v>30</v>
      </c>
      <c r="K75" s="18" t="s">
        <v>909</v>
      </c>
      <c r="L75" s="18" t="s">
        <v>1191</v>
      </c>
      <c r="M75" s="18" t="s">
        <v>72</v>
      </c>
      <c r="N75" s="18" t="s">
        <v>65</v>
      </c>
      <c r="O75" s="18" t="s">
        <v>93</v>
      </c>
    </row>
    <row r="76" spans="1:15" x14ac:dyDescent="0.3">
      <c r="A76" s="18" t="s">
        <v>1192</v>
      </c>
      <c r="B76" s="18" t="s">
        <v>241</v>
      </c>
      <c r="C76" s="18" t="s">
        <v>909</v>
      </c>
      <c r="D76" s="18" t="s">
        <v>51</v>
      </c>
      <c r="E76" s="18" t="s">
        <v>909</v>
      </c>
      <c r="F76" s="18" t="s">
        <v>19</v>
      </c>
      <c r="G76" s="18" t="s">
        <v>105</v>
      </c>
      <c r="H76" s="18" t="s">
        <v>1193</v>
      </c>
      <c r="I76" s="18" t="s">
        <v>1194</v>
      </c>
      <c r="J76" s="18" t="s">
        <v>120</v>
      </c>
      <c r="K76" s="18" t="s">
        <v>121</v>
      </c>
      <c r="L76" s="18" t="s">
        <v>1195</v>
      </c>
      <c r="M76" s="18" t="s">
        <v>32</v>
      </c>
      <c r="N76" s="18" t="s">
        <v>65</v>
      </c>
      <c r="O76" s="18" t="s">
        <v>34</v>
      </c>
    </row>
    <row r="77" spans="1:15" x14ac:dyDescent="0.3">
      <c r="A77" s="18" t="s">
        <v>242</v>
      </c>
      <c r="B77" s="18" t="s">
        <v>243</v>
      </c>
      <c r="C77" s="18" t="s">
        <v>1154</v>
      </c>
      <c r="D77" s="18" t="s">
        <v>909</v>
      </c>
      <c r="E77" s="18" t="s">
        <v>124</v>
      </c>
      <c r="F77" s="18" t="s">
        <v>44</v>
      </c>
      <c r="G77" s="18" t="s">
        <v>221</v>
      </c>
      <c r="H77" s="18" t="s">
        <v>1196</v>
      </c>
      <c r="I77" s="18" t="s">
        <v>1197</v>
      </c>
      <c r="J77" s="18" t="s">
        <v>244</v>
      </c>
      <c r="K77" s="18" t="s">
        <v>909</v>
      </c>
      <c r="L77" s="18" t="s">
        <v>1198</v>
      </c>
      <c r="M77" s="18" t="s">
        <v>40</v>
      </c>
      <c r="N77" s="18" t="s">
        <v>65</v>
      </c>
      <c r="O77" s="18" t="s">
        <v>1045</v>
      </c>
    </row>
    <row r="78" spans="1:15" x14ac:dyDescent="0.3">
      <c r="A78" s="18" t="s">
        <v>245</v>
      </c>
      <c r="B78" s="18" t="s">
        <v>246</v>
      </c>
      <c r="C78" s="18" t="s">
        <v>1009</v>
      </c>
      <c r="D78" s="18" t="s">
        <v>51</v>
      </c>
      <c r="E78" s="18" t="s">
        <v>18</v>
      </c>
      <c r="F78" s="18" t="s">
        <v>87</v>
      </c>
      <c r="G78" s="18" t="s">
        <v>112</v>
      </c>
      <c r="H78" s="18" t="s">
        <v>1199</v>
      </c>
      <c r="I78" s="18" t="s">
        <v>1200</v>
      </c>
      <c r="J78" s="18" t="s">
        <v>216</v>
      </c>
      <c r="K78" s="18" t="s">
        <v>1201</v>
      </c>
      <c r="L78" s="18" t="s">
        <v>1202</v>
      </c>
      <c r="M78" s="18" t="s">
        <v>32</v>
      </c>
      <c r="N78" s="18" t="s">
        <v>909</v>
      </c>
      <c r="O78" s="18" t="s">
        <v>25</v>
      </c>
    </row>
    <row r="79" spans="1:15" x14ac:dyDescent="0.3">
      <c r="A79" s="18" t="s">
        <v>247</v>
      </c>
      <c r="B79" s="18" t="s">
        <v>248</v>
      </c>
      <c r="C79" s="18" t="s">
        <v>1203</v>
      </c>
      <c r="D79" s="18" t="s">
        <v>1204</v>
      </c>
      <c r="E79" s="18" t="s">
        <v>84</v>
      </c>
      <c r="F79" s="18" t="s">
        <v>87</v>
      </c>
      <c r="G79" s="18" t="s">
        <v>112</v>
      </c>
      <c r="H79" s="18" t="s">
        <v>1205</v>
      </c>
      <c r="I79" s="18" t="s">
        <v>909</v>
      </c>
      <c r="J79" s="18" t="s">
        <v>192</v>
      </c>
      <c r="K79" s="18" t="s">
        <v>193</v>
      </c>
      <c r="L79" s="18" t="s">
        <v>1206</v>
      </c>
      <c r="M79" s="18" t="s">
        <v>23</v>
      </c>
      <c r="N79" s="18" t="s">
        <v>61</v>
      </c>
      <c r="O79" s="18" t="s">
        <v>41</v>
      </c>
    </row>
    <row r="80" spans="1:15" x14ac:dyDescent="0.3">
      <c r="A80" s="18" t="s">
        <v>249</v>
      </c>
      <c r="B80" s="18" t="s">
        <v>129</v>
      </c>
      <c r="C80" s="18" t="s">
        <v>919</v>
      </c>
      <c r="D80" s="18" t="s">
        <v>17</v>
      </c>
      <c r="E80" s="18" t="s">
        <v>124</v>
      </c>
      <c r="F80" s="18" t="s">
        <v>28</v>
      </c>
      <c r="G80" s="18" t="s">
        <v>909</v>
      </c>
      <c r="H80" s="18" t="s">
        <v>1207</v>
      </c>
      <c r="I80" s="18" t="s">
        <v>1208</v>
      </c>
      <c r="J80" s="18" t="s">
        <v>30</v>
      </c>
      <c r="K80" s="18" t="s">
        <v>31</v>
      </c>
      <c r="L80" s="18" t="s">
        <v>1209</v>
      </c>
      <c r="M80" s="18" t="s">
        <v>47</v>
      </c>
      <c r="N80" s="18" t="s">
        <v>65</v>
      </c>
      <c r="O80" s="18" t="s">
        <v>938</v>
      </c>
    </row>
    <row r="81" spans="1:15" x14ac:dyDescent="0.3">
      <c r="A81" s="18" t="s">
        <v>250</v>
      </c>
      <c r="B81" s="18" t="s">
        <v>251</v>
      </c>
      <c r="C81" s="18" t="s">
        <v>1210</v>
      </c>
      <c r="D81" s="18" t="s">
        <v>51</v>
      </c>
      <c r="E81" s="18" t="s">
        <v>18</v>
      </c>
      <c r="F81" s="18" t="s">
        <v>28</v>
      </c>
      <c r="G81" s="18" t="s">
        <v>101</v>
      </c>
      <c r="H81" s="18" t="s">
        <v>1211</v>
      </c>
      <c r="I81" s="18" t="s">
        <v>1212</v>
      </c>
      <c r="J81" s="18" t="s">
        <v>30</v>
      </c>
      <c r="K81" s="18" t="s">
        <v>31</v>
      </c>
      <c r="L81" s="18" t="s">
        <v>1213</v>
      </c>
      <c r="M81" s="18" t="s">
        <v>60</v>
      </c>
      <c r="N81" s="18" t="s">
        <v>61</v>
      </c>
      <c r="O81" s="18" t="s">
        <v>985</v>
      </c>
    </row>
    <row r="82" spans="1:15" x14ac:dyDescent="0.3">
      <c r="A82" s="18" t="s">
        <v>252</v>
      </c>
      <c r="B82" s="18" t="s">
        <v>253</v>
      </c>
      <c r="C82" s="18" t="s">
        <v>961</v>
      </c>
      <c r="D82" s="18" t="s">
        <v>17</v>
      </c>
      <c r="E82" s="18" t="s">
        <v>64</v>
      </c>
      <c r="F82" s="18" t="s">
        <v>28</v>
      </c>
      <c r="G82" s="18" t="s">
        <v>1214</v>
      </c>
      <c r="H82" s="18" t="s">
        <v>1215</v>
      </c>
      <c r="I82" s="18" t="s">
        <v>1216</v>
      </c>
      <c r="J82" s="18" t="s">
        <v>189</v>
      </c>
      <c r="K82" s="18" t="s">
        <v>1077</v>
      </c>
      <c r="L82" s="18" t="s">
        <v>1217</v>
      </c>
      <c r="M82" s="18" t="s">
        <v>40</v>
      </c>
      <c r="N82" s="18" t="s">
        <v>24</v>
      </c>
      <c r="O82" s="18" t="s">
        <v>34</v>
      </c>
    </row>
    <row r="83" spans="1:15" x14ac:dyDescent="0.3">
      <c r="A83" s="18" t="s">
        <v>254</v>
      </c>
      <c r="B83" s="18" t="s">
        <v>909</v>
      </c>
      <c r="C83" s="18" t="s">
        <v>919</v>
      </c>
      <c r="D83" s="18" t="s">
        <v>17</v>
      </c>
      <c r="E83" s="18" t="s">
        <v>43</v>
      </c>
      <c r="F83" s="18" t="s">
        <v>38</v>
      </c>
      <c r="G83" s="18" t="s">
        <v>125</v>
      </c>
      <c r="H83" s="18" t="s">
        <v>1218</v>
      </c>
      <c r="I83" s="18" t="s">
        <v>1219</v>
      </c>
      <c r="J83" s="18" t="s">
        <v>97</v>
      </c>
      <c r="K83" s="18" t="s">
        <v>98</v>
      </c>
      <c r="L83" s="18" t="s">
        <v>1220</v>
      </c>
      <c r="M83" s="18" t="s">
        <v>99</v>
      </c>
      <c r="N83" s="18" t="s">
        <v>48</v>
      </c>
      <c r="O83" s="18" t="s">
        <v>34</v>
      </c>
    </row>
    <row r="84" spans="1:15" x14ac:dyDescent="0.3">
      <c r="A84" s="18" t="s">
        <v>255</v>
      </c>
      <c r="B84" s="18" t="s">
        <v>1221</v>
      </c>
      <c r="C84" s="18" t="s">
        <v>1164</v>
      </c>
      <c r="D84" s="18" t="s">
        <v>51</v>
      </c>
      <c r="E84" s="18" t="s">
        <v>37</v>
      </c>
      <c r="F84" s="18" t="s">
        <v>909</v>
      </c>
      <c r="G84" s="18" t="s">
        <v>54</v>
      </c>
      <c r="H84" s="18" t="s">
        <v>1222</v>
      </c>
      <c r="I84" s="18" t="s">
        <v>1223</v>
      </c>
      <c r="J84" s="18" t="s">
        <v>70</v>
      </c>
      <c r="K84" s="18" t="s">
        <v>71</v>
      </c>
      <c r="L84" s="18" t="s">
        <v>1224</v>
      </c>
      <c r="M84" s="18" t="s">
        <v>40</v>
      </c>
      <c r="N84" s="18" t="s">
        <v>24</v>
      </c>
      <c r="O84" s="18" t="s">
        <v>93</v>
      </c>
    </row>
    <row r="85" spans="1:15" x14ac:dyDescent="0.3">
      <c r="A85" s="18" t="s">
        <v>256</v>
      </c>
      <c r="B85" s="18" t="s">
        <v>36</v>
      </c>
      <c r="C85" s="18" t="s">
        <v>1024</v>
      </c>
      <c r="D85" s="18" t="s">
        <v>51</v>
      </c>
      <c r="E85" s="18" t="s">
        <v>18</v>
      </c>
      <c r="F85" s="18" t="s">
        <v>53</v>
      </c>
      <c r="G85" s="18" t="s">
        <v>69</v>
      </c>
      <c r="H85" s="18" t="s">
        <v>1225</v>
      </c>
      <c r="I85" s="18" t="s">
        <v>1226</v>
      </c>
      <c r="J85" s="18" t="s">
        <v>107</v>
      </c>
      <c r="K85" s="18" t="s">
        <v>108</v>
      </c>
      <c r="L85" s="18" t="s">
        <v>1227</v>
      </c>
      <c r="M85" s="18" t="s">
        <v>72</v>
      </c>
      <c r="N85" s="18" t="s">
        <v>24</v>
      </c>
      <c r="O85" s="18" t="s">
        <v>34</v>
      </c>
    </row>
    <row r="86" spans="1:15" x14ac:dyDescent="0.3">
      <c r="A86" s="18" t="s">
        <v>257</v>
      </c>
      <c r="B86" s="18" t="s">
        <v>258</v>
      </c>
      <c r="C86" s="18" t="s">
        <v>1164</v>
      </c>
      <c r="D86" s="18" t="s">
        <v>1204</v>
      </c>
      <c r="E86" s="18" t="s">
        <v>124</v>
      </c>
      <c r="F86" s="18" t="s">
        <v>38</v>
      </c>
      <c r="G86" s="18" t="s">
        <v>167</v>
      </c>
      <c r="H86" s="18" t="s">
        <v>1155</v>
      </c>
      <c r="I86" s="18" t="s">
        <v>1228</v>
      </c>
      <c r="J86" s="18" t="s">
        <v>97</v>
      </c>
      <c r="K86" s="18" t="s">
        <v>98</v>
      </c>
      <c r="L86" s="18" t="s">
        <v>1229</v>
      </c>
      <c r="M86" s="18" t="s">
        <v>47</v>
      </c>
      <c r="N86" s="18" t="s">
        <v>65</v>
      </c>
      <c r="O86" s="18" t="s">
        <v>25</v>
      </c>
    </row>
    <row r="87" spans="1:15" x14ac:dyDescent="0.3">
      <c r="A87" s="18" t="s">
        <v>259</v>
      </c>
      <c r="B87" s="18" t="s">
        <v>260</v>
      </c>
      <c r="C87" s="18" t="s">
        <v>1041</v>
      </c>
      <c r="D87" s="18" t="s">
        <v>909</v>
      </c>
      <c r="E87" s="18" t="s">
        <v>68</v>
      </c>
      <c r="F87" s="18" t="s">
        <v>28</v>
      </c>
      <c r="G87" s="18" t="s">
        <v>29</v>
      </c>
      <c r="H87" s="18" t="s">
        <v>1230</v>
      </c>
      <c r="I87" s="18" t="s">
        <v>1231</v>
      </c>
      <c r="J87" s="18" t="s">
        <v>189</v>
      </c>
      <c r="K87" s="18" t="s">
        <v>1077</v>
      </c>
      <c r="L87" s="18" t="s">
        <v>1232</v>
      </c>
      <c r="M87" s="18" t="s">
        <v>72</v>
      </c>
      <c r="N87" s="18" t="s">
        <v>65</v>
      </c>
      <c r="O87" s="18" t="s">
        <v>34</v>
      </c>
    </row>
    <row r="88" spans="1:15" x14ac:dyDescent="0.3">
      <c r="A88" s="18" t="s">
        <v>261</v>
      </c>
      <c r="B88" s="18" t="s">
        <v>262</v>
      </c>
      <c r="C88" s="18" t="s">
        <v>1233</v>
      </c>
      <c r="D88" s="18" t="s">
        <v>17</v>
      </c>
      <c r="E88" s="18" t="s">
        <v>1234</v>
      </c>
      <c r="F88" s="18" t="s">
        <v>38</v>
      </c>
      <c r="G88" s="18" t="s">
        <v>167</v>
      </c>
      <c r="H88" s="18" t="s">
        <v>1235</v>
      </c>
      <c r="I88" s="18" t="s">
        <v>1236</v>
      </c>
      <c r="J88" s="18" t="s">
        <v>97</v>
      </c>
      <c r="K88" s="18" t="s">
        <v>98</v>
      </c>
      <c r="L88" s="18" t="s">
        <v>1237</v>
      </c>
      <c r="M88" s="18" t="s">
        <v>47</v>
      </c>
      <c r="N88" s="18" t="s">
        <v>48</v>
      </c>
      <c r="O88" s="18" t="s">
        <v>938</v>
      </c>
    </row>
    <row r="89" spans="1:15" x14ac:dyDescent="0.3">
      <c r="A89" s="18" t="s">
        <v>263</v>
      </c>
      <c r="B89" s="18" t="s">
        <v>264</v>
      </c>
      <c r="C89" s="18" t="s">
        <v>913</v>
      </c>
      <c r="D89" s="18" t="s">
        <v>17</v>
      </c>
      <c r="E89" s="18" t="s">
        <v>124</v>
      </c>
      <c r="F89" s="18" t="s">
        <v>28</v>
      </c>
      <c r="G89" s="18" t="s">
        <v>195</v>
      </c>
      <c r="H89" s="18" t="s">
        <v>1238</v>
      </c>
      <c r="I89" s="18" t="s">
        <v>1239</v>
      </c>
      <c r="J89" s="18" t="s">
        <v>189</v>
      </c>
      <c r="K89" s="18" t="s">
        <v>1077</v>
      </c>
      <c r="L89" s="18" t="s">
        <v>1240</v>
      </c>
      <c r="M89" s="18" t="s">
        <v>60</v>
      </c>
      <c r="N89" s="18" t="s">
        <v>65</v>
      </c>
      <c r="O89" s="18" t="s">
        <v>25</v>
      </c>
    </row>
    <row r="90" spans="1:15" x14ac:dyDescent="0.3">
      <c r="A90" s="18" t="s">
        <v>265</v>
      </c>
      <c r="B90" s="18" t="s">
        <v>266</v>
      </c>
      <c r="C90" s="18" t="s">
        <v>1107</v>
      </c>
      <c r="D90" s="18" t="s">
        <v>51</v>
      </c>
      <c r="E90" s="18" t="s">
        <v>68</v>
      </c>
      <c r="F90" s="18" t="s">
        <v>19</v>
      </c>
      <c r="G90" s="18" t="s">
        <v>105</v>
      </c>
      <c r="H90" s="18" t="s">
        <v>1241</v>
      </c>
      <c r="I90" s="18" t="s">
        <v>1242</v>
      </c>
      <c r="J90" s="18" t="s">
        <v>267</v>
      </c>
      <c r="K90" s="18" t="s">
        <v>268</v>
      </c>
      <c r="L90" s="18" t="s">
        <v>1243</v>
      </c>
      <c r="M90" s="18" t="s">
        <v>1063</v>
      </c>
      <c r="N90" s="18" t="s">
        <v>24</v>
      </c>
      <c r="O90" s="18" t="s">
        <v>1114</v>
      </c>
    </row>
    <row r="91" spans="1:15" x14ac:dyDescent="0.3">
      <c r="A91" s="18" t="s">
        <v>269</v>
      </c>
      <c r="B91" s="18" t="s">
        <v>1244</v>
      </c>
      <c r="C91" s="18" t="s">
        <v>992</v>
      </c>
      <c r="D91" s="18" t="s">
        <v>51</v>
      </c>
      <c r="E91" s="18" t="s">
        <v>68</v>
      </c>
      <c r="F91" s="18" t="s">
        <v>87</v>
      </c>
      <c r="G91" s="18" t="s">
        <v>909</v>
      </c>
      <c r="H91" s="18" t="s">
        <v>1245</v>
      </c>
      <c r="I91" s="18" t="s">
        <v>1246</v>
      </c>
      <c r="J91" s="18" t="s">
        <v>171</v>
      </c>
      <c r="K91" s="18" t="s">
        <v>113</v>
      </c>
      <c r="L91" s="18" t="s">
        <v>1247</v>
      </c>
      <c r="M91" s="18" t="s">
        <v>32</v>
      </c>
      <c r="N91" s="18" t="s">
        <v>48</v>
      </c>
      <c r="O91" s="18" t="s">
        <v>34</v>
      </c>
    </row>
    <row r="92" spans="1:15" x14ac:dyDescent="0.3">
      <c r="A92" s="18" t="s">
        <v>270</v>
      </c>
      <c r="B92" s="18" t="s">
        <v>271</v>
      </c>
      <c r="C92" s="18" t="s">
        <v>1248</v>
      </c>
      <c r="D92" s="18" t="s">
        <v>17</v>
      </c>
      <c r="E92" s="18" t="s">
        <v>37</v>
      </c>
      <c r="F92" s="18" t="s">
        <v>44</v>
      </c>
      <c r="G92" s="18" t="s">
        <v>45</v>
      </c>
      <c r="H92" s="18" t="s">
        <v>1249</v>
      </c>
      <c r="I92" s="18" t="s">
        <v>1250</v>
      </c>
      <c r="J92" s="18" t="s">
        <v>232</v>
      </c>
      <c r="K92" s="18" t="s">
        <v>160</v>
      </c>
      <c r="L92" s="18" t="s">
        <v>1251</v>
      </c>
      <c r="M92" s="18" t="s">
        <v>23</v>
      </c>
      <c r="N92" s="18" t="s">
        <v>24</v>
      </c>
      <c r="O92" s="18" t="s">
        <v>34</v>
      </c>
    </row>
    <row r="93" spans="1:15" x14ac:dyDescent="0.3">
      <c r="A93" s="18" t="s">
        <v>272</v>
      </c>
      <c r="B93" s="18" t="s">
        <v>273</v>
      </c>
      <c r="C93" s="18" t="s">
        <v>909</v>
      </c>
      <c r="D93" s="18" t="s">
        <v>1142</v>
      </c>
      <c r="E93" s="18" t="s">
        <v>43</v>
      </c>
      <c r="F93" s="18" t="s">
        <v>53</v>
      </c>
      <c r="G93" s="18" t="s">
        <v>143</v>
      </c>
      <c r="H93" s="18" t="s">
        <v>1252</v>
      </c>
      <c r="I93" s="18" t="s">
        <v>909</v>
      </c>
      <c r="J93" s="18" t="s">
        <v>55</v>
      </c>
      <c r="K93" s="18" t="s">
        <v>56</v>
      </c>
      <c r="L93" s="18" t="s">
        <v>1253</v>
      </c>
      <c r="M93" s="18" t="s">
        <v>909</v>
      </c>
      <c r="N93" s="18" t="s">
        <v>33</v>
      </c>
      <c r="O93" s="18" t="s">
        <v>41</v>
      </c>
    </row>
    <row r="94" spans="1:15" x14ac:dyDescent="0.3">
      <c r="A94" s="18" t="s">
        <v>274</v>
      </c>
      <c r="B94" s="18" t="s">
        <v>275</v>
      </c>
      <c r="C94" s="18" t="s">
        <v>1254</v>
      </c>
      <c r="D94" s="18" t="s">
        <v>51</v>
      </c>
      <c r="E94" s="18" t="s">
        <v>52</v>
      </c>
      <c r="F94" s="18" t="s">
        <v>19</v>
      </c>
      <c r="G94" s="18" t="s">
        <v>105</v>
      </c>
      <c r="H94" s="18" t="s">
        <v>1255</v>
      </c>
      <c r="I94" s="18" t="s">
        <v>1256</v>
      </c>
      <c r="J94" s="18" t="s">
        <v>21</v>
      </c>
      <c r="K94" s="18" t="s">
        <v>22</v>
      </c>
      <c r="L94" s="18" t="s">
        <v>1257</v>
      </c>
      <c r="M94" s="18" t="s">
        <v>99</v>
      </c>
      <c r="N94" s="18" t="s">
        <v>24</v>
      </c>
      <c r="O94" s="18" t="s">
        <v>938</v>
      </c>
    </row>
    <row r="95" spans="1:15" x14ac:dyDescent="0.3">
      <c r="A95" s="18" t="s">
        <v>276</v>
      </c>
      <c r="B95" s="18" t="s">
        <v>205</v>
      </c>
      <c r="C95" s="18" t="s">
        <v>1258</v>
      </c>
      <c r="D95" s="18" t="s">
        <v>51</v>
      </c>
      <c r="E95" s="18" t="s">
        <v>86</v>
      </c>
      <c r="F95" s="18" t="s">
        <v>38</v>
      </c>
      <c r="G95" s="18" t="s">
        <v>79</v>
      </c>
      <c r="H95" s="18" t="s">
        <v>1259</v>
      </c>
      <c r="I95" s="18" t="s">
        <v>1260</v>
      </c>
      <c r="J95" s="18" t="s">
        <v>909</v>
      </c>
      <c r="K95" s="18" t="s">
        <v>98</v>
      </c>
      <c r="L95" s="18" t="s">
        <v>1261</v>
      </c>
      <c r="M95" s="18" t="s">
        <v>23</v>
      </c>
      <c r="N95" s="18" t="s">
        <v>24</v>
      </c>
      <c r="O95" s="18" t="s">
        <v>34</v>
      </c>
    </row>
    <row r="96" spans="1:15" x14ac:dyDescent="0.3">
      <c r="A96" s="18" t="s">
        <v>277</v>
      </c>
      <c r="B96" s="18" t="s">
        <v>278</v>
      </c>
      <c r="C96" s="18" t="s">
        <v>1262</v>
      </c>
      <c r="D96" s="18" t="s">
        <v>17</v>
      </c>
      <c r="E96" s="18" t="s">
        <v>84</v>
      </c>
      <c r="F96" s="18" t="s">
        <v>19</v>
      </c>
      <c r="G96" s="18" t="s">
        <v>20</v>
      </c>
      <c r="H96" s="18" t="s">
        <v>1263</v>
      </c>
      <c r="I96" s="18" t="s">
        <v>1264</v>
      </c>
      <c r="J96" s="18" t="s">
        <v>21</v>
      </c>
      <c r="K96" s="18" t="s">
        <v>22</v>
      </c>
      <c r="L96" s="18" t="s">
        <v>1265</v>
      </c>
      <c r="M96" s="18" t="s">
        <v>32</v>
      </c>
      <c r="N96" s="18" t="s">
        <v>61</v>
      </c>
      <c r="O96" s="18" t="s">
        <v>938</v>
      </c>
    </row>
    <row r="97" spans="1:15" x14ac:dyDescent="0.3">
      <c r="A97" s="18" t="s">
        <v>279</v>
      </c>
      <c r="B97" s="18" t="s">
        <v>1266</v>
      </c>
      <c r="C97" s="18" t="s">
        <v>1267</v>
      </c>
      <c r="D97" s="18" t="s">
        <v>51</v>
      </c>
      <c r="E97" s="18" t="s">
        <v>68</v>
      </c>
      <c r="F97" s="18" t="s">
        <v>44</v>
      </c>
      <c r="G97" s="18" t="s">
        <v>153</v>
      </c>
      <c r="H97" s="18" t="s">
        <v>1268</v>
      </c>
      <c r="I97" s="18" t="s">
        <v>1269</v>
      </c>
      <c r="J97" s="18" t="s">
        <v>244</v>
      </c>
      <c r="K97" s="18" t="s">
        <v>280</v>
      </c>
      <c r="L97" s="18" t="s">
        <v>1270</v>
      </c>
      <c r="M97" s="18" t="s">
        <v>99</v>
      </c>
      <c r="N97" s="18" t="s">
        <v>1119</v>
      </c>
      <c r="O97" s="18" t="s">
        <v>25</v>
      </c>
    </row>
    <row r="98" spans="1:15" x14ac:dyDescent="0.3">
      <c r="A98" s="18" t="s">
        <v>281</v>
      </c>
      <c r="B98" s="18" t="s">
        <v>83</v>
      </c>
      <c r="C98" s="18" t="s">
        <v>1271</v>
      </c>
      <c r="D98" s="18" t="s">
        <v>17</v>
      </c>
      <c r="E98" s="18" t="s">
        <v>18</v>
      </c>
      <c r="F98" s="18" t="s">
        <v>132</v>
      </c>
      <c r="G98" s="18" t="s">
        <v>138</v>
      </c>
      <c r="H98" s="18" t="s">
        <v>931</v>
      </c>
      <c r="I98" s="18" t="s">
        <v>1272</v>
      </c>
      <c r="J98" s="18" t="s">
        <v>173</v>
      </c>
      <c r="K98" s="18" t="s">
        <v>1273</v>
      </c>
      <c r="L98" s="18" t="s">
        <v>1274</v>
      </c>
      <c r="M98" s="18" t="s">
        <v>99</v>
      </c>
      <c r="N98" s="18" t="s">
        <v>48</v>
      </c>
      <c r="O98" s="18" t="s">
        <v>25</v>
      </c>
    </row>
    <row r="99" spans="1:15" x14ac:dyDescent="0.3">
      <c r="A99" s="18" t="s">
        <v>282</v>
      </c>
      <c r="B99" s="18" t="s">
        <v>127</v>
      </c>
      <c r="C99" s="18" t="s">
        <v>1024</v>
      </c>
      <c r="D99" s="18" t="s">
        <v>51</v>
      </c>
      <c r="E99" s="18" t="s">
        <v>84</v>
      </c>
      <c r="F99" s="18" t="s">
        <v>19</v>
      </c>
      <c r="G99" s="18" t="s">
        <v>1275</v>
      </c>
      <c r="H99" s="18" t="s">
        <v>1276</v>
      </c>
      <c r="I99" s="18" t="s">
        <v>909</v>
      </c>
      <c r="J99" s="18" t="s">
        <v>180</v>
      </c>
      <c r="K99" s="18" t="s">
        <v>181</v>
      </c>
      <c r="L99" s="18" t="s">
        <v>1277</v>
      </c>
      <c r="M99" s="18" t="s">
        <v>23</v>
      </c>
      <c r="N99" s="18" t="s">
        <v>24</v>
      </c>
      <c r="O99" s="18" t="s">
        <v>41</v>
      </c>
    </row>
    <row r="100" spans="1:15" x14ac:dyDescent="0.3">
      <c r="A100" s="18" t="s">
        <v>283</v>
      </c>
      <c r="B100" s="18" t="s">
        <v>284</v>
      </c>
      <c r="C100" s="18" t="s">
        <v>1278</v>
      </c>
      <c r="D100" s="18" t="s">
        <v>51</v>
      </c>
      <c r="E100" s="18" t="s">
        <v>68</v>
      </c>
      <c r="F100" s="18" t="s">
        <v>38</v>
      </c>
      <c r="G100" s="18" t="s">
        <v>125</v>
      </c>
      <c r="H100" s="18" t="s">
        <v>1279</v>
      </c>
      <c r="I100" s="18" t="s">
        <v>1280</v>
      </c>
      <c r="J100" s="18" t="s">
        <v>909</v>
      </c>
      <c r="K100" s="18" t="s">
        <v>39</v>
      </c>
      <c r="L100" s="18" t="s">
        <v>1281</v>
      </c>
      <c r="M100" s="18" t="s">
        <v>32</v>
      </c>
      <c r="N100" s="18" t="s">
        <v>909</v>
      </c>
      <c r="O100" s="18" t="s">
        <v>34</v>
      </c>
    </row>
    <row r="101" spans="1:15" x14ac:dyDescent="0.3">
      <c r="A101" s="18" t="s">
        <v>285</v>
      </c>
      <c r="B101" s="18" t="s">
        <v>286</v>
      </c>
      <c r="C101" s="18" t="s">
        <v>1282</v>
      </c>
      <c r="D101" s="18" t="s">
        <v>51</v>
      </c>
      <c r="E101" s="18" t="s">
        <v>18</v>
      </c>
      <c r="F101" s="18" t="s">
        <v>19</v>
      </c>
      <c r="G101" s="18" t="s">
        <v>158</v>
      </c>
      <c r="H101" s="18" t="s">
        <v>1283</v>
      </c>
      <c r="I101" s="18" t="s">
        <v>909</v>
      </c>
      <c r="J101" s="18" t="s">
        <v>909</v>
      </c>
      <c r="K101" s="18" t="s">
        <v>22</v>
      </c>
      <c r="L101" s="18" t="s">
        <v>1284</v>
      </c>
      <c r="M101" s="18" t="s">
        <v>23</v>
      </c>
      <c r="N101" s="18" t="s">
        <v>65</v>
      </c>
      <c r="O101" s="18" t="s">
        <v>34</v>
      </c>
    </row>
    <row r="102" spans="1:15" x14ac:dyDescent="0.3">
      <c r="A102" s="18" t="s">
        <v>287</v>
      </c>
      <c r="B102" s="18" t="s">
        <v>288</v>
      </c>
      <c r="C102" s="18" t="s">
        <v>1285</v>
      </c>
      <c r="D102" s="18" t="s">
        <v>51</v>
      </c>
      <c r="E102" s="18" t="s">
        <v>86</v>
      </c>
      <c r="F102" s="18" t="s">
        <v>44</v>
      </c>
      <c r="G102" s="18" t="s">
        <v>221</v>
      </c>
      <c r="H102" s="18" t="s">
        <v>1286</v>
      </c>
      <c r="I102" s="18" t="s">
        <v>1236</v>
      </c>
      <c r="J102" s="18" t="s">
        <v>232</v>
      </c>
      <c r="K102" s="18" t="s">
        <v>1287</v>
      </c>
      <c r="L102" s="18" t="s">
        <v>1288</v>
      </c>
      <c r="M102" s="18" t="s">
        <v>60</v>
      </c>
      <c r="N102" s="18" t="s">
        <v>909</v>
      </c>
      <c r="O102" s="18" t="s">
        <v>25</v>
      </c>
    </row>
    <row r="103" spans="1:15" x14ac:dyDescent="0.3">
      <c r="A103" s="18" t="s">
        <v>289</v>
      </c>
      <c r="B103" s="18" t="s">
        <v>179</v>
      </c>
      <c r="C103" s="18" t="s">
        <v>1289</v>
      </c>
      <c r="D103" s="18" t="s">
        <v>51</v>
      </c>
      <c r="E103" s="18" t="s">
        <v>64</v>
      </c>
      <c r="F103" s="18" t="s">
        <v>19</v>
      </c>
      <c r="G103" s="18" t="s">
        <v>20</v>
      </c>
      <c r="H103" s="18" t="s">
        <v>1290</v>
      </c>
      <c r="I103" s="18" t="s">
        <v>1291</v>
      </c>
      <c r="J103" s="18" t="s">
        <v>120</v>
      </c>
      <c r="K103" s="18" t="s">
        <v>121</v>
      </c>
      <c r="L103" s="18" t="s">
        <v>1292</v>
      </c>
      <c r="M103" s="18" t="s">
        <v>99</v>
      </c>
      <c r="N103" s="18" t="s">
        <v>65</v>
      </c>
      <c r="O103" s="18" t="s">
        <v>34</v>
      </c>
    </row>
    <row r="104" spans="1:15" x14ac:dyDescent="0.3">
      <c r="A104" s="18" t="s">
        <v>290</v>
      </c>
      <c r="B104" s="18" t="s">
        <v>142</v>
      </c>
      <c r="C104" s="18" t="s">
        <v>968</v>
      </c>
      <c r="D104" s="18" t="s">
        <v>51</v>
      </c>
      <c r="E104" s="18" t="s">
        <v>52</v>
      </c>
      <c r="F104" s="18" t="s">
        <v>44</v>
      </c>
      <c r="G104" s="18" t="s">
        <v>45</v>
      </c>
      <c r="H104" s="18" t="s">
        <v>1293</v>
      </c>
      <c r="I104" s="18" t="s">
        <v>1294</v>
      </c>
      <c r="J104" s="18" t="s">
        <v>922</v>
      </c>
      <c r="K104" s="18" t="s">
        <v>46</v>
      </c>
      <c r="L104" s="18" t="s">
        <v>1295</v>
      </c>
      <c r="M104" s="18" t="s">
        <v>32</v>
      </c>
      <c r="N104" s="18" t="s">
        <v>65</v>
      </c>
      <c r="O104" s="18" t="s">
        <v>25</v>
      </c>
    </row>
    <row r="105" spans="1:15" x14ac:dyDescent="0.3">
      <c r="A105" s="18" t="s">
        <v>909</v>
      </c>
      <c r="B105" s="18" t="s">
        <v>291</v>
      </c>
      <c r="C105" s="18" t="s">
        <v>1296</v>
      </c>
      <c r="D105" s="18" t="s">
        <v>51</v>
      </c>
      <c r="E105" s="18" t="s">
        <v>124</v>
      </c>
      <c r="F105" s="18" t="s">
        <v>87</v>
      </c>
      <c r="G105" s="18" t="s">
        <v>112</v>
      </c>
      <c r="H105" s="18" t="s">
        <v>1187</v>
      </c>
      <c r="I105" s="18" t="s">
        <v>1297</v>
      </c>
      <c r="J105" s="18" t="s">
        <v>192</v>
      </c>
      <c r="K105" s="18" t="s">
        <v>909</v>
      </c>
      <c r="L105" s="18" t="s">
        <v>1298</v>
      </c>
      <c r="M105" s="18" t="s">
        <v>47</v>
      </c>
      <c r="N105" s="18" t="s">
        <v>61</v>
      </c>
      <c r="O105" s="18" t="s">
        <v>93</v>
      </c>
    </row>
    <row r="106" spans="1:15" x14ac:dyDescent="0.3">
      <c r="A106" s="18" t="s">
        <v>292</v>
      </c>
      <c r="B106" s="18" t="s">
        <v>293</v>
      </c>
      <c r="C106" s="18" t="s">
        <v>1299</v>
      </c>
      <c r="D106" s="18" t="s">
        <v>51</v>
      </c>
      <c r="E106" s="18" t="s">
        <v>37</v>
      </c>
      <c r="F106" s="18" t="s">
        <v>87</v>
      </c>
      <c r="G106" s="18" t="s">
        <v>112</v>
      </c>
      <c r="H106" s="18" t="s">
        <v>1300</v>
      </c>
      <c r="I106" s="18" t="s">
        <v>1301</v>
      </c>
      <c r="J106" s="18" t="s">
        <v>89</v>
      </c>
      <c r="K106" s="18" t="s">
        <v>92</v>
      </c>
      <c r="L106" s="18" t="s">
        <v>1302</v>
      </c>
      <c r="M106" s="18" t="s">
        <v>40</v>
      </c>
      <c r="N106" s="18" t="s">
        <v>48</v>
      </c>
      <c r="O106" s="18" t="s">
        <v>34</v>
      </c>
    </row>
    <row r="107" spans="1:15" x14ac:dyDescent="0.3">
      <c r="A107" s="18" t="s">
        <v>294</v>
      </c>
      <c r="B107" s="18" t="s">
        <v>231</v>
      </c>
      <c r="C107" s="18" t="s">
        <v>999</v>
      </c>
      <c r="D107" s="18" t="s">
        <v>96</v>
      </c>
      <c r="E107" s="18" t="s">
        <v>43</v>
      </c>
      <c r="F107" s="18" t="s">
        <v>19</v>
      </c>
      <c r="G107" s="18" t="s">
        <v>105</v>
      </c>
      <c r="H107" s="18" t="s">
        <v>1222</v>
      </c>
      <c r="I107" s="18" t="s">
        <v>1256</v>
      </c>
      <c r="J107" s="18" t="s">
        <v>267</v>
      </c>
      <c r="K107" s="18" t="s">
        <v>268</v>
      </c>
      <c r="L107" s="18" t="s">
        <v>1303</v>
      </c>
      <c r="M107" s="18" t="s">
        <v>72</v>
      </c>
      <c r="N107" s="18" t="s">
        <v>24</v>
      </c>
      <c r="O107" s="18" t="s">
        <v>93</v>
      </c>
    </row>
    <row r="108" spans="1:15" x14ac:dyDescent="0.3">
      <c r="A108" s="18" t="s">
        <v>295</v>
      </c>
      <c r="B108" s="18" t="s">
        <v>296</v>
      </c>
      <c r="C108" s="18" t="s">
        <v>933</v>
      </c>
      <c r="D108" s="18" t="s">
        <v>51</v>
      </c>
      <c r="E108" s="18" t="s">
        <v>111</v>
      </c>
      <c r="F108" s="18" t="s">
        <v>44</v>
      </c>
      <c r="G108" s="18" t="s">
        <v>1048</v>
      </c>
      <c r="H108" s="18" t="s">
        <v>1304</v>
      </c>
      <c r="I108" s="18" t="s">
        <v>909</v>
      </c>
      <c r="J108" s="18" t="s">
        <v>1305</v>
      </c>
      <c r="K108" s="18" t="s">
        <v>280</v>
      </c>
      <c r="L108" s="18" t="s">
        <v>1306</v>
      </c>
      <c r="M108" s="18" t="s">
        <v>47</v>
      </c>
      <c r="N108" s="18" t="s">
        <v>33</v>
      </c>
      <c r="O108" s="18" t="s">
        <v>41</v>
      </c>
    </row>
    <row r="109" spans="1:15" x14ac:dyDescent="0.3">
      <c r="A109" s="18" t="s">
        <v>297</v>
      </c>
      <c r="B109" s="18" t="s">
        <v>298</v>
      </c>
      <c r="C109" s="18" t="s">
        <v>973</v>
      </c>
      <c r="D109" s="18" t="s">
        <v>1142</v>
      </c>
      <c r="E109" s="18" t="s">
        <v>111</v>
      </c>
      <c r="F109" s="18" t="s">
        <v>53</v>
      </c>
      <c r="G109" s="18" t="s">
        <v>69</v>
      </c>
      <c r="H109" s="18" t="s">
        <v>1307</v>
      </c>
      <c r="I109" s="18" t="s">
        <v>1308</v>
      </c>
      <c r="J109" s="18" t="s">
        <v>55</v>
      </c>
      <c r="K109" s="18" t="s">
        <v>56</v>
      </c>
      <c r="L109" s="18" t="s">
        <v>1309</v>
      </c>
      <c r="M109" s="18" t="s">
        <v>32</v>
      </c>
      <c r="N109" s="18" t="s">
        <v>909</v>
      </c>
      <c r="O109" s="18" t="s">
        <v>34</v>
      </c>
    </row>
    <row r="110" spans="1:15" x14ac:dyDescent="0.3">
      <c r="A110" s="18" t="s">
        <v>299</v>
      </c>
      <c r="B110" s="18" t="s">
        <v>240</v>
      </c>
      <c r="C110" s="18" t="s">
        <v>1310</v>
      </c>
      <c r="D110" s="18" t="s">
        <v>51</v>
      </c>
      <c r="E110" s="18" t="s">
        <v>111</v>
      </c>
      <c r="F110" s="18" t="s">
        <v>44</v>
      </c>
      <c r="G110" s="18" t="s">
        <v>909</v>
      </c>
      <c r="H110" s="18" t="s">
        <v>1311</v>
      </c>
      <c r="I110" s="18" t="s">
        <v>1312</v>
      </c>
      <c r="J110" s="18" t="s">
        <v>232</v>
      </c>
      <c r="K110" s="18" t="s">
        <v>160</v>
      </c>
      <c r="L110" s="18" t="s">
        <v>1313</v>
      </c>
      <c r="M110" s="18" t="s">
        <v>32</v>
      </c>
      <c r="N110" s="18" t="s">
        <v>33</v>
      </c>
      <c r="O110" s="18" t="s">
        <v>93</v>
      </c>
    </row>
    <row r="111" spans="1:15" x14ac:dyDescent="0.3">
      <c r="A111" s="18" t="s">
        <v>300</v>
      </c>
      <c r="B111" s="18" t="s">
        <v>301</v>
      </c>
      <c r="C111" s="18" t="s">
        <v>994</v>
      </c>
      <c r="D111" s="18" t="s">
        <v>51</v>
      </c>
      <c r="E111" s="18" t="s">
        <v>37</v>
      </c>
      <c r="F111" s="18" t="s">
        <v>38</v>
      </c>
      <c r="G111" s="18" t="s">
        <v>125</v>
      </c>
      <c r="H111" s="18" t="s">
        <v>1314</v>
      </c>
      <c r="I111" s="18" t="s">
        <v>1315</v>
      </c>
      <c r="J111" s="18" t="s">
        <v>97</v>
      </c>
      <c r="K111" s="18" t="s">
        <v>98</v>
      </c>
      <c r="L111" s="18" t="s">
        <v>1316</v>
      </c>
      <c r="M111" s="18" t="s">
        <v>32</v>
      </c>
      <c r="N111" s="18" t="s">
        <v>65</v>
      </c>
      <c r="O111" s="18" t="s">
        <v>25</v>
      </c>
    </row>
    <row r="112" spans="1:15" x14ac:dyDescent="0.3">
      <c r="A112" s="18" t="s">
        <v>302</v>
      </c>
      <c r="B112" s="18" t="s">
        <v>303</v>
      </c>
      <c r="C112" s="18" t="s">
        <v>1047</v>
      </c>
      <c r="D112" s="18" t="s">
        <v>17</v>
      </c>
      <c r="E112" s="18" t="s">
        <v>37</v>
      </c>
      <c r="F112" s="18" t="s">
        <v>132</v>
      </c>
      <c r="G112" s="18" t="s">
        <v>138</v>
      </c>
      <c r="H112" s="18" t="s">
        <v>1317</v>
      </c>
      <c r="I112" s="18" t="s">
        <v>1318</v>
      </c>
      <c r="J112" s="18" t="s">
        <v>173</v>
      </c>
      <c r="K112" s="18" t="s">
        <v>174</v>
      </c>
      <c r="L112" s="18" t="s">
        <v>1319</v>
      </c>
      <c r="M112" s="18" t="s">
        <v>99</v>
      </c>
      <c r="N112" s="18" t="s">
        <v>33</v>
      </c>
      <c r="O112" s="18" t="s">
        <v>93</v>
      </c>
    </row>
    <row r="113" spans="1:15" x14ac:dyDescent="0.3">
      <c r="A113" s="18" t="s">
        <v>304</v>
      </c>
      <c r="B113" s="18" t="s">
        <v>305</v>
      </c>
      <c r="C113" s="18" t="s">
        <v>1262</v>
      </c>
      <c r="D113" s="18" t="s">
        <v>17</v>
      </c>
      <c r="E113" s="18" t="s">
        <v>86</v>
      </c>
      <c r="F113" s="18" t="s">
        <v>53</v>
      </c>
      <c r="G113" s="18" t="s">
        <v>143</v>
      </c>
      <c r="H113" s="18" t="s">
        <v>1320</v>
      </c>
      <c r="I113" s="18" t="s">
        <v>1321</v>
      </c>
      <c r="J113" s="18" t="s">
        <v>55</v>
      </c>
      <c r="K113" s="18" t="s">
        <v>56</v>
      </c>
      <c r="L113" s="18" t="s">
        <v>1322</v>
      </c>
      <c r="M113" s="18" t="s">
        <v>32</v>
      </c>
      <c r="N113" s="18" t="s">
        <v>48</v>
      </c>
      <c r="O113" s="18" t="s">
        <v>985</v>
      </c>
    </row>
    <row r="114" spans="1:15" x14ac:dyDescent="0.3">
      <c r="A114" s="18" t="s">
        <v>306</v>
      </c>
      <c r="B114" s="18" t="s">
        <v>307</v>
      </c>
      <c r="C114" s="18" t="s">
        <v>968</v>
      </c>
      <c r="D114" s="18" t="s">
        <v>17</v>
      </c>
      <c r="E114" s="18" t="s">
        <v>111</v>
      </c>
      <c r="F114" s="18" t="s">
        <v>44</v>
      </c>
      <c r="G114" s="18" t="s">
        <v>221</v>
      </c>
      <c r="H114" s="18" t="s">
        <v>1323</v>
      </c>
      <c r="I114" s="18" t="s">
        <v>909</v>
      </c>
      <c r="J114" s="18" t="s">
        <v>244</v>
      </c>
      <c r="K114" s="18" t="s">
        <v>280</v>
      </c>
      <c r="L114" s="18" t="s">
        <v>909</v>
      </c>
      <c r="M114" s="18" t="s">
        <v>47</v>
      </c>
      <c r="N114" s="18" t="s">
        <v>909</v>
      </c>
      <c r="O114" s="18" t="s">
        <v>41</v>
      </c>
    </row>
    <row r="115" spans="1:15" x14ac:dyDescent="0.3">
      <c r="A115" s="18" t="s">
        <v>308</v>
      </c>
      <c r="B115" s="18" t="s">
        <v>309</v>
      </c>
      <c r="C115" s="18" t="s">
        <v>1170</v>
      </c>
      <c r="D115" s="18" t="s">
        <v>51</v>
      </c>
      <c r="E115" s="18" t="s">
        <v>37</v>
      </c>
      <c r="F115" s="18" t="s">
        <v>28</v>
      </c>
      <c r="G115" s="18" t="s">
        <v>29</v>
      </c>
      <c r="H115" s="18" t="s">
        <v>1290</v>
      </c>
      <c r="I115" s="18" t="s">
        <v>1324</v>
      </c>
      <c r="J115" s="18" t="s">
        <v>102</v>
      </c>
      <c r="K115" s="18" t="s">
        <v>103</v>
      </c>
      <c r="L115" s="18" t="s">
        <v>1325</v>
      </c>
      <c r="M115" s="18" t="s">
        <v>99</v>
      </c>
      <c r="N115" s="18" t="s">
        <v>24</v>
      </c>
      <c r="O115" s="18" t="s">
        <v>34</v>
      </c>
    </row>
    <row r="116" spans="1:15" x14ac:dyDescent="0.3">
      <c r="A116" s="18" t="s">
        <v>310</v>
      </c>
      <c r="B116" s="18" t="s">
        <v>311</v>
      </c>
      <c r="C116" s="18" t="s">
        <v>1091</v>
      </c>
      <c r="D116" s="18" t="s">
        <v>51</v>
      </c>
      <c r="E116" s="18" t="s">
        <v>37</v>
      </c>
      <c r="F116" s="18" t="s">
        <v>44</v>
      </c>
      <c r="G116" s="18" t="s">
        <v>221</v>
      </c>
      <c r="H116" s="18" t="s">
        <v>1165</v>
      </c>
      <c r="I116" s="18" t="s">
        <v>1018</v>
      </c>
      <c r="J116" s="18" t="s">
        <v>232</v>
      </c>
      <c r="K116" s="18" t="s">
        <v>1287</v>
      </c>
      <c r="L116" s="18" t="s">
        <v>1326</v>
      </c>
      <c r="M116" s="18" t="s">
        <v>72</v>
      </c>
      <c r="N116" s="18" t="s">
        <v>48</v>
      </c>
      <c r="O116" s="18" t="s">
        <v>25</v>
      </c>
    </row>
    <row r="117" spans="1:15" x14ac:dyDescent="0.3">
      <c r="A117" s="18" t="s">
        <v>312</v>
      </c>
      <c r="B117" s="18" t="s">
        <v>313</v>
      </c>
      <c r="C117" s="18" t="s">
        <v>1079</v>
      </c>
      <c r="D117" s="18" t="s">
        <v>51</v>
      </c>
      <c r="E117" s="18" t="s">
        <v>111</v>
      </c>
      <c r="F117" s="18" t="s">
        <v>909</v>
      </c>
      <c r="G117" s="18" t="s">
        <v>909</v>
      </c>
      <c r="H117" s="18" t="s">
        <v>1327</v>
      </c>
      <c r="I117" s="18" t="s">
        <v>1328</v>
      </c>
      <c r="J117" s="18" t="s">
        <v>267</v>
      </c>
      <c r="K117" s="18" t="s">
        <v>268</v>
      </c>
      <c r="L117" s="18" t="s">
        <v>1329</v>
      </c>
      <c r="M117" s="18" t="s">
        <v>909</v>
      </c>
      <c r="N117" s="18" t="s">
        <v>65</v>
      </c>
      <c r="O117" s="18" t="s">
        <v>938</v>
      </c>
    </row>
    <row r="118" spans="1:15" x14ac:dyDescent="0.3">
      <c r="A118" s="18" t="s">
        <v>314</v>
      </c>
      <c r="B118" s="18" t="s">
        <v>315</v>
      </c>
      <c r="C118" s="18" t="s">
        <v>1330</v>
      </c>
      <c r="D118" s="18" t="s">
        <v>17</v>
      </c>
      <c r="E118" s="18" t="s">
        <v>1331</v>
      </c>
      <c r="F118" s="18" t="s">
        <v>19</v>
      </c>
      <c r="G118" s="18" t="s">
        <v>20</v>
      </c>
      <c r="H118" s="18" t="s">
        <v>1332</v>
      </c>
      <c r="I118" s="18" t="s">
        <v>1333</v>
      </c>
      <c r="J118" s="18" t="s">
        <v>1334</v>
      </c>
      <c r="K118" s="18" t="s">
        <v>22</v>
      </c>
      <c r="L118" s="18" t="s">
        <v>1335</v>
      </c>
      <c r="M118" s="18" t="s">
        <v>40</v>
      </c>
      <c r="N118" s="18" t="s">
        <v>61</v>
      </c>
      <c r="O118" s="18" t="s">
        <v>25</v>
      </c>
    </row>
    <row r="119" spans="1:15" x14ac:dyDescent="0.3">
      <c r="A119" s="18" t="s">
        <v>316</v>
      </c>
      <c r="B119" s="18" t="s">
        <v>317</v>
      </c>
      <c r="C119" s="18" t="s">
        <v>1254</v>
      </c>
      <c r="D119" s="18" t="s">
        <v>17</v>
      </c>
      <c r="E119" s="18" t="s">
        <v>124</v>
      </c>
      <c r="F119" s="18" t="s">
        <v>19</v>
      </c>
      <c r="G119" s="18" t="s">
        <v>20</v>
      </c>
      <c r="H119" s="18" t="s">
        <v>1336</v>
      </c>
      <c r="I119" s="18" t="s">
        <v>1337</v>
      </c>
      <c r="J119" s="18" t="s">
        <v>180</v>
      </c>
      <c r="K119" s="18" t="s">
        <v>181</v>
      </c>
      <c r="L119" s="18" t="s">
        <v>1338</v>
      </c>
      <c r="M119" s="18" t="s">
        <v>47</v>
      </c>
      <c r="N119" s="18" t="s">
        <v>24</v>
      </c>
      <c r="O119" s="18" t="s">
        <v>938</v>
      </c>
    </row>
    <row r="120" spans="1:15" x14ac:dyDescent="0.3">
      <c r="A120" s="18" t="s">
        <v>318</v>
      </c>
      <c r="B120" s="18" t="s">
        <v>319</v>
      </c>
      <c r="C120" s="18" t="s">
        <v>933</v>
      </c>
      <c r="D120" s="18" t="s">
        <v>17</v>
      </c>
      <c r="E120" s="18" t="s">
        <v>43</v>
      </c>
      <c r="F120" s="18" t="s">
        <v>132</v>
      </c>
      <c r="G120" s="18" t="s">
        <v>138</v>
      </c>
      <c r="H120" s="18" t="s">
        <v>1250</v>
      </c>
      <c r="I120" s="18" t="s">
        <v>1339</v>
      </c>
      <c r="J120" s="18" t="s">
        <v>134</v>
      </c>
      <c r="K120" s="18" t="s">
        <v>1340</v>
      </c>
      <c r="L120" s="18" t="s">
        <v>1341</v>
      </c>
      <c r="M120" s="18" t="s">
        <v>72</v>
      </c>
      <c r="N120" s="18" t="s">
        <v>33</v>
      </c>
      <c r="O120" s="18" t="s">
        <v>25</v>
      </c>
    </row>
    <row r="121" spans="1:15" x14ac:dyDescent="0.3">
      <c r="A121" s="18" t="s">
        <v>320</v>
      </c>
      <c r="B121" s="18" t="s">
        <v>214</v>
      </c>
      <c r="C121" s="18" t="s">
        <v>1342</v>
      </c>
      <c r="D121" s="18" t="s">
        <v>51</v>
      </c>
      <c r="E121" s="18" t="s">
        <v>1331</v>
      </c>
      <c r="F121" s="18" t="s">
        <v>19</v>
      </c>
      <c r="G121" s="18" t="s">
        <v>105</v>
      </c>
      <c r="H121" s="18" t="s">
        <v>1343</v>
      </c>
      <c r="I121" s="18" t="s">
        <v>909</v>
      </c>
      <c r="J121" s="18" t="s">
        <v>180</v>
      </c>
      <c r="K121" s="18" t="s">
        <v>181</v>
      </c>
      <c r="L121" s="18" t="s">
        <v>1344</v>
      </c>
      <c r="M121" s="18" t="s">
        <v>72</v>
      </c>
      <c r="N121" s="18" t="s">
        <v>24</v>
      </c>
      <c r="O121" s="18" t="s">
        <v>41</v>
      </c>
    </row>
    <row r="122" spans="1:15" x14ac:dyDescent="0.3">
      <c r="A122" s="18" t="s">
        <v>321</v>
      </c>
      <c r="B122" s="18" t="s">
        <v>291</v>
      </c>
      <c r="C122" s="18" t="s">
        <v>956</v>
      </c>
      <c r="D122" s="18" t="s">
        <v>51</v>
      </c>
      <c r="E122" s="18" t="s">
        <v>111</v>
      </c>
      <c r="F122" s="18" t="s">
        <v>132</v>
      </c>
      <c r="G122" s="18" t="s">
        <v>133</v>
      </c>
      <c r="H122" s="18" t="s">
        <v>1345</v>
      </c>
      <c r="I122" s="18" t="s">
        <v>909</v>
      </c>
      <c r="J122" s="18" t="s">
        <v>147</v>
      </c>
      <c r="K122" s="18" t="s">
        <v>1346</v>
      </c>
      <c r="L122" s="18" t="s">
        <v>1347</v>
      </c>
      <c r="M122" s="18" t="s">
        <v>99</v>
      </c>
      <c r="N122" s="18" t="s">
        <v>65</v>
      </c>
      <c r="O122" s="18" t="s">
        <v>909</v>
      </c>
    </row>
    <row r="123" spans="1:15" x14ac:dyDescent="0.3">
      <c r="A123" s="18" t="s">
        <v>322</v>
      </c>
      <c r="B123" s="18" t="s">
        <v>909</v>
      </c>
      <c r="C123" s="18" t="s">
        <v>978</v>
      </c>
      <c r="D123" s="18" t="s">
        <v>17</v>
      </c>
      <c r="E123" s="18" t="s">
        <v>18</v>
      </c>
      <c r="F123" s="18" t="s">
        <v>19</v>
      </c>
      <c r="G123" s="18" t="s">
        <v>158</v>
      </c>
      <c r="H123" s="18" t="s">
        <v>1348</v>
      </c>
      <c r="I123" s="18" t="s">
        <v>1349</v>
      </c>
      <c r="J123" s="18" t="s">
        <v>180</v>
      </c>
      <c r="K123" s="18" t="s">
        <v>181</v>
      </c>
      <c r="L123" s="18" t="s">
        <v>1350</v>
      </c>
      <c r="M123" s="18" t="s">
        <v>47</v>
      </c>
      <c r="N123" s="18" t="s">
        <v>65</v>
      </c>
      <c r="O123" s="18" t="s">
        <v>25</v>
      </c>
    </row>
    <row r="124" spans="1:15" x14ac:dyDescent="0.3">
      <c r="A124" s="18" t="s">
        <v>323</v>
      </c>
      <c r="B124" s="18" t="s">
        <v>284</v>
      </c>
      <c r="C124" s="18" t="s">
        <v>1351</v>
      </c>
      <c r="D124" s="18" t="s">
        <v>51</v>
      </c>
      <c r="E124" s="18" t="s">
        <v>68</v>
      </c>
      <c r="F124" s="18" t="s">
        <v>87</v>
      </c>
      <c r="G124" s="18" t="s">
        <v>324</v>
      </c>
      <c r="H124" s="18" t="s">
        <v>1352</v>
      </c>
      <c r="I124" s="18" t="s">
        <v>1353</v>
      </c>
      <c r="J124" s="18" t="s">
        <v>171</v>
      </c>
      <c r="K124" s="18" t="s">
        <v>113</v>
      </c>
      <c r="L124" s="18" t="s">
        <v>1354</v>
      </c>
      <c r="M124" s="18" t="s">
        <v>909</v>
      </c>
      <c r="N124" s="18" t="s">
        <v>61</v>
      </c>
      <c r="O124" s="18" t="s">
        <v>34</v>
      </c>
    </row>
    <row r="125" spans="1:15" x14ac:dyDescent="0.3">
      <c r="A125" s="18" t="s">
        <v>325</v>
      </c>
      <c r="B125" s="18" t="s">
        <v>326</v>
      </c>
      <c r="C125" s="18" t="s">
        <v>909</v>
      </c>
      <c r="D125" s="18" t="s">
        <v>17</v>
      </c>
      <c r="E125" s="18" t="s">
        <v>84</v>
      </c>
      <c r="F125" s="18" t="s">
        <v>28</v>
      </c>
      <c r="G125" s="18" t="s">
        <v>101</v>
      </c>
      <c r="H125" s="18" t="s">
        <v>1355</v>
      </c>
      <c r="I125" s="18" t="s">
        <v>1190</v>
      </c>
      <c r="J125" s="18" t="s">
        <v>909</v>
      </c>
      <c r="K125" s="18" t="s">
        <v>76</v>
      </c>
      <c r="L125" s="18" t="s">
        <v>1356</v>
      </c>
      <c r="M125" s="18" t="s">
        <v>99</v>
      </c>
      <c r="N125" s="18" t="s">
        <v>909</v>
      </c>
      <c r="O125" s="18" t="s">
        <v>1357</v>
      </c>
    </row>
    <row r="126" spans="1:15" x14ac:dyDescent="0.3">
      <c r="A126" s="18" t="s">
        <v>327</v>
      </c>
      <c r="B126" s="18" t="s">
        <v>328</v>
      </c>
      <c r="C126" s="18" t="s">
        <v>1082</v>
      </c>
      <c r="D126" s="18" t="s">
        <v>908</v>
      </c>
      <c r="E126" s="18" t="s">
        <v>84</v>
      </c>
      <c r="F126" s="18" t="s">
        <v>28</v>
      </c>
      <c r="G126" s="18" t="s">
        <v>195</v>
      </c>
      <c r="H126" s="18" t="s">
        <v>1358</v>
      </c>
      <c r="I126" s="18" t="s">
        <v>1359</v>
      </c>
      <c r="J126" s="18" t="s">
        <v>102</v>
      </c>
      <c r="K126" s="18" t="s">
        <v>103</v>
      </c>
      <c r="L126" s="18" t="s">
        <v>1360</v>
      </c>
      <c r="M126" s="18" t="s">
        <v>47</v>
      </c>
      <c r="N126" s="18" t="s">
        <v>909</v>
      </c>
      <c r="O126" s="18" t="s">
        <v>34</v>
      </c>
    </row>
    <row r="127" spans="1:15" x14ac:dyDescent="0.3">
      <c r="A127" s="18" t="s">
        <v>329</v>
      </c>
      <c r="B127" s="18" t="s">
        <v>330</v>
      </c>
      <c r="C127" s="18" t="s">
        <v>1262</v>
      </c>
      <c r="D127" s="18" t="s">
        <v>51</v>
      </c>
      <c r="E127" s="18" t="s">
        <v>43</v>
      </c>
      <c r="F127" s="18" t="s">
        <v>87</v>
      </c>
      <c r="G127" s="18" t="s">
        <v>112</v>
      </c>
      <c r="H127" s="18" t="s">
        <v>1361</v>
      </c>
      <c r="I127" s="18" t="s">
        <v>1362</v>
      </c>
      <c r="J127" s="18" t="s">
        <v>89</v>
      </c>
      <c r="K127" s="18" t="s">
        <v>92</v>
      </c>
      <c r="L127" s="18" t="s">
        <v>1363</v>
      </c>
      <c r="M127" s="18" t="s">
        <v>23</v>
      </c>
      <c r="N127" s="18" t="s">
        <v>33</v>
      </c>
      <c r="O127" s="18" t="s">
        <v>938</v>
      </c>
    </row>
    <row r="128" spans="1:15" x14ac:dyDescent="0.3">
      <c r="A128" s="18" t="s">
        <v>331</v>
      </c>
      <c r="B128" s="18" t="s">
        <v>309</v>
      </c>
      <c r="C128" s="18" t="s">
        <v>1179</v>
      </c>
      <c r="D128" s="18" t="s">
        <v>51</v>
      </c>
      <c r="E128" s="18" t="s">
        <v>124</v>
      </c>
      <c r="F128" s="18" t="s">
        <v>909</v>
      </c>
      <c r="G128" s="18" t="s">
        <v>45</v>
      </c>
      <c r="H128" s="18" t="s">
        <v>1364</v>
      </c>
      <c r="I128" s="18" t="s">
        <v>1120</v>
      </c>
      <c r="J128" s="18" t="s">
        <v>154</v>
      </c>
      <c r="K128" s="18" t="s">
        <v>155</v>
      </c>
      <c r="L128" s="18" t="s">
        <v>1365</v>
      </c>
      <c r="M128" s="18" t="s">
        <v>40</v>
      </c>
      <c r="N128" s="18" t="s">
        <v>61</v>
      </c>
      <c r="O128" s="18" t="s">
        <v>34</v>
      </c>
    </row>
    <row r="129" spans="1:15" x14ac:dyDescent="0.3">
      <c r="A129" s="18" t="s">
        <v>909</v>
      </c>
      <c r="B129" s="18" t="s">
        <v>1366</v>
      </c>
      <c r="C129" s="18" t="s">
        <v>1203</v>
      </c>
      <c r="D129" s="18" t="s">
        <v>17</v>
      </c>
      <c r="E129" s="18" t="s">
        <v>1367</v>
      </c>
      <c r="F129" s="18" t="s">
        <v>1075</v>
      </c>
      <c r="G129" s="18" t="s">
        <v>101</v>
      </c>
      <c r="H129" s="18" t="s">
        <v>1368</v>
      </c>
      <c r="I129" s="18" t="s">
        <v>909</v>
      </c>
      <c r="J129" s="18" t="s">
        <v>189</v>
      </c>
      <c r="K129" s="18" t="s">
        <v>1077</v>
      </c>
      <c r="L129" s="18" t="s">
        <v>1369</v>
      </c>
      <c r="M129" s="18" t="s">
        <v>60</v>
      </c>
      <c r="N129" s="18" t="s">
        <v>33</v>
      </c>
      <c r="O129" s="18" t="s">
        <v>41</v>
      </c>
    </row>
    <row r="130" spans="1:15" x14ac:dyDescent="0.3">
      <c r="A130" s="18" t="s">
        <v>332</v>
      </c>
      <c r="B130" s="18" t="s">
        <v>333</v>
      </c>
      <c r="C130" s="18" t="s">
        <v>1370</v>
      </c>
      <c r="D130" s="18" t="s">
        <v>17</v>
      </c>
      <c r="E130" s="18" t="s">
        <v>37</v>
      </c>
      <c r="F130" s="18" t="s">
        <v>53</v>
      </c>
      <c r="G130" s="18" t="s">
        <v>54</v>
      </c>
      <c r="H130" s="18" t="s">
        <v>1371</v>
      </c>
      <c r="I130" s="18" t="s">
        <v>1372</v>
      </c>
      <c r="J130" s="18" t="s">
        <v>55</v>
      </c>
      <c r="K130" s="18" t="s">
        <v>56</v>
      </c>
      <c r="L130" s="18" t="s">
        <v>1373</v>
      </c>
      <c r="M130" s="18" t="s">
        <v>72</v>
      </c>
      <c r="N130" s="18" t="s">
        <v>61</v>
      </c>
      <c r="O130" s="18" t="s">
        <v>938</v>
      </c>
    </row>
    <row r="131" spans="1:15" x14ac:dyDescent="0.3">
      <c r="A131" s="18" t="s">
        <v>334</v>
      </c>
      <c r="B131" s="18" t="s">
        <v>1374</v>
      </c>
      <c r="C131" s="18" t="s">
        <v>1141</v>
      </c>
      <c r="D131" s="18" t="s">
        <v>17</v>
      </c>
      <c r="E131" s="18" t="s">
        <v>68</v>
      </c>
      <c r="F131" s="18" t="s">
        <v>132</v>
      </c>
      <c r="G131" s="18" t="s">
        <v>223</v>
      </c>
      <c r="H131" s="18" t="s">
        <v>1375</v>
      </c>
      <c r="I131" s="18" t="s">
        <v>1376</v>
      </c>
      <c r="J131" s="18" t="s">
        <v>147</v>
      </c>
      <c r="K131" s="18" t="s">
        <v>148</v>
      </c>
      <c r="L131" s="18" t="s">
        <v>1377</v>
      </c>
      <c r="M131" s="18" t="s">
        <v>60</v>
      </c>
      <c r="N131" s="18" t="s">
        <v>33</v>
      </c>
      <c r="O131" s="18" t="s">
        <v>909</v>
      </c>
    </row>
    <row r="132" spans="1:15" x14ac:dyDescent="0.3">
      <c r="A132" s="18" t="s">
        <v>335</v>
      </c>
      <c r="B132" s="18" t="s">
        <v>119</v>
      </c>
      <c r="C132" s="18" t="s">
        <v>1378</v>
      </c>
      <c r="D132" s="18" t="s">
        <v>1204</v>
      </c>
      <c r="E132" s="18" t="s">
        <v>64</v>
      </c>
      <c r="F132" s="18" t="s">
        <v>44</v>
      </c>
      <c r="G132" s="18" t="s">
        <v>1379</v>
      </c>
      <c r="H132" s="18" t="s">
        <v>1380</v>
      </c>
      <c r="I132" s="18" t="s">
        <v>1381</v>
      </c>
      <c r="J132" s="18" t="s">
        <v>922</v>
      </c>
      <c r="K132" s="18" t="s">
        <v>909</v>
      </c>
      <c r="L132" s="18" t="s">
        <v>1382</v>
      </c>
      <c r="M132" s="18" t="s">
        <v>32</v>
      </c>
      <c r="N132" s="18" t="s">
        <v>33</v>
      </c>
      <c r="O132" s="18" t="s">
        <v>25</v>
      </c>
    </row>
    <row r="133" spans="1:15" x14ac:dyDescent="0.3">
      <c r="A133" s="18" t="s">
        <v>336</v>
      </c>
      <c r="B133" s="18" t="s">
        <v>337</v>
      </c>
      <c r="C133" s="18" t="s">
        <v>1383</v>
      </c>
      <c r="D133" s="18" t="s">
        <v>17</v>
      </c>
      <c r="E133" s="18" t="s">
        <v>37</v>
      </c>
      <c r="F133" s="18" t="s">
        <v>28</v>
      </c>
      <c r="G133" s="18" t="s">
        <v>101</v>
      </c>
      <c r="H133" s="18" t="s">
        <v>1384</v>
      </c>
      <c r="I133" s="18" t="s">
        <v>1385</v>
      </c>
      <c r="J133" s="18" t="s">
        <v>189</v>
      </c>
      <c r="K133" s="18" t="s">
        <v>1077</v>
      </c>
      <c r="L133" s="18" t="s">
        <v>1386</v>
      </c>
      <c r="M133" s="18" t="s">
        <v>72</v>
      </c>
      <c r="N133" s="18" t="s">
        <v>33</v>
      </c>
      <c r="O133" s="18" t="s">
        <v>34</v>
      </c>
    </row>
    <row r="134" spans="1:15" x14ac:dyDescent="0.3">
      <c r="A134" s="18" t="s">
        <v>338</v>
      </c>
      <c r="B134" s="18" t="s">
        <v>1387</v>
      </c>
      <c r="C134" s="18" t="s">
        <v>1388</v>
      </c>
      <c r="D134" s="18" t="s">
        <v>51</v>
      </c>
      <c r="E134" s="18" t="s">
        <v>52</v>
      </c>
      <c r="F134" s="18" t="s">
        <v>132</v>
      </c>
      <c r="G134" s="18" t="s">
        <v>223</v>
      </c>
      <c r="H134" s="18" t="s">
        <v>1389</v>
      </c>
      <c r="I134" s="18" t="s">
        <v>1390</v>
      </c>
      <c r="J134" s="18" t="s">
        <v>173</v>
      </c>
      <c r="K134" s="18" t="s">
        <v>174</v>
      </c>
      <c r="L134" s="18" t="s">
        <v>1391</v>
      </c>
      <c r="M134" s="18" t="s">
        <v>23</v>
      </c>
      <c r="N134" s="18" t="s">
        <v>48</v>
      </c>
      <c r="O134" s="18" t="s">
        <v>25</v>
      </c>
    </row>
    <row r="135" spans="1:15" x14ac:dyDescent="0.3">
      <c r="A135" s="18" t="s">
        <v>339</v>
      </c>
      <c r="B135" s="18" t="s">
        <v>340</v>
      </c>
      <c r="C135" s="18" t="s">
        <v>943</v>
      </c>
      <c r="D135" s="18" t="s">
        <v>17</v>
      </c>
      <c r="E135" s="18" t="s">
        <v>52</v>
      </c>
      <c r="F135" s="18" t="s">
        <v>53</v>
      </c>
      <c r="G135" s="18" t="s">
        <v>54</v>
      </c>
      <c r="H135" s="18" t="s">
        <v>1392</v>
      </c>
      <c r="I135" s="18" t="s">
        <v>1393</v>
      </c>
      <c r="J135" s="18" t="s">
        <v>1394</v>
      </c>
      <c r="K135" s="18" t="s">
        <v>201</v>
      </c>
      <c r="L135" s="18" t="s">
        <v>1395</v>
      </c>
      <c r="M135" s="18" t="s">
        <v>23</v>
      </c>
      <c r="N135" s="18" t="s">
        <v>24</v>
      </c>
      <c r="O135" s="18" t="s">
        <v>1114</v>
      </c>
    </row>
    <row r="136" spans="1:15" x14ac:dyDescent="0.3">
      <c r="A136" s="18" t="s">
        <v>341</v>
      </c>
      <c r="B136" s="18" t="s">
        <v>342</v>
      </c>
      <c r="C136" s="18" t="s">
        <v>968</v>
      </c>
      <c r="D136" s="18" t="s">
        <v>51</v>
      </c>
      <c r="E136" s="18" t="s">
        <v>43</v>
      </c>
      <c r="F136" s="18" t="s">
        <v>19</v>
      </c>
      <c r="G136" s="18" t="s">
        <v>105</v>
      </c>
      <c r="H136" s="18" t="s">
        <v>1396</v>
      </c>
      <c r="I136" s="18" t="s">
        <v>909</v>
      </c>
      <c r="J136" s="18" t="s">
        <v>267</v>
      </c>
      <c r="K136" s="18" t="s">
        <v>268</v>
      </c>
      <c r="L136" s="18" t="s">
        <v>1397</v>
      </c>
      <c r="M136" s="18" t="s">
        <v>1013</v>
      </c>
      <c r="N136" s="18" t="s">
        <v>65</v>
      </c>
      <c r="O136" s="18" t="s">
        <v>909</v>
      </c>
    </row>
    <row r="137" spans="1:15" x14ac:dyDescent="0.3">
      <c r="A137" s="18" t="s">
        <v>343</v>
      </c>
      <c r="B137" s="18" t="s">
        <v>303</v>
      </c>
      <c r="C137" s="18" t="s">
        <v>1186</v>
      </c>
      <c r="D137" s="18" t="s">
        <v>17</v>
      </c>
      <c r="E137" s="18" t="s">
        <v>84</v>
      </c>
      <c r="F137" s="18" t="s">
        <v>28</v>
      </c>
      <c r="G137" s="18" t="s">
        <v>101</v>
      </c>
      <c r="H137" s="18" t="s">
        <v>1398</v>
      </c>
      <c r="I137" s="18" t="s">
        <v>1399</v>
      </c>
      <c r="J137" s="18" t="s">
        <v>30</v>
      </c>
      <c r="K137" s="18" t="s">
        <v>31</v>
      </c>
      <c r="L137" s="18" t="s">
        <v>1400</v>
      </c>
      <c r="M137" s="18" t="s">
        <v>32</v>
      </c>
      <c r="N137" s="18" t="s">
        <v>33</v>
      </c>
      <c r="O137" s="18" t="s">
        <v>938</v>
      </c>
    </row>
    <row r="138" spans="1:15" x14ac:dyDescent="0.3">
      <c r="A138" s="18" t="s">
        <v>344</v>
      </c>
      <c r="B138" s="18" t="s">
        <v>345</v>
      </c>
      <c r="C138" s="18" t="s">
        <v>1091</v>
      </c>
      <c r="D138" s="18" t="s">
        <v>51</v>
      </c>
      <c r="E138" s="18" t="s">
        <v>43</v>
      </c>
      <c r="F138" s="18" t="s">
        <v>44</v>
      </c>
      <c r="G138" s="18" t="s">
        <v>221</v>
      </c>
      <c r="H138" s="18" t="s">
        <v>1401</v>
      </c>
      <c r="I138" s="18" t="s">
        <v>909</v>
      </c>
      <c r="J138" s="18" t="s">
        <v>154</v>
      </c>
      <c r="K138" s="18" t="s">
        <v>155</v>
      </c>
      <c r="L138" s="18" t="s">
        <v>1402</v>
      </c>
      <c r="M138" s="18" t="s">
        <v>99</v>
      </c>
      <c r="N138" s="18" t="s">
        <v>24</v>
      </c>
      <c r="O138" s="18" t="s">
        <v>34</v>
      </c>
    </row>
    <row r="139" spans="1:15" x14ac:dyDescent="0.3">
      <c r="A139" s="18" t="s">
        <v>346</v>
      </c>
      <c r="B139" s="18" t="s">
        <v>307</v>
      </c>
      <c r="C139" s="18" t="s">
        <v>924</v>
      </c>
      <c r="D139" s="18" t="s">
        <v>17</v>
      </c>
      <c r="E139" s="18" t="s">
        <v>68</v>
      </c>
      <c r="F139" s="18" t="s">
        <v>53</v>
      </c>
      <c r="G139" s="18" t="s">
        <v>69</v>
      </c>
      <c r="H139" s="18" t="s">
        <v>1352</v>
      </c>
      <c r="I139" s="18" t="s">
        <v>1036</v>
      </c>
      <c r="J139" s="18" t="s">
        <v>55</v>
      </c>
      <c r="K139" s="18" t="s">
        <v>56</v>
      </c>
      <c r="L139" s="18" t="s">
        <v>1403</v>
      </c>
      <c r="M139" s="18" t="s">
        <v>72</v>
      </c>
      <c r="N139" s="18" t="s">
        <v>33</v>
      </c>
      <c r="O139" s="18" t="s">
        <v>25</v>
      </c>
    </row>
    <row r="140" spans="1:15" x14ac:dyDescent="0.3">
      <c r="A140" s="18" t="s">
        <v>347</v>
      </c>
      <c r="B140" s="18" t="s">
        <v>348</v>
      </c>
      <c r="C140" s="18" t="s">
        <v>994</v>
      </c>
      <c r="D140" s="18" t="s">
        <v>17</v>
      </c>
      <c r="E140" s="18" t="s">
        <v>1367</v>
      </c>
      <c r="F140" s="18" t="s">
        <v>19</v>
      </c>
      <c r="G140" s="18" t="s">
        <v>105</v>
      </c>
      <c r="H140" s="18" t="s">
        <v>1404</v>
      </c>
      <c r="I140" s="18" t="s">
        <v>909</v>
      </c>
      <c r="J140" s="18" t="s">
        <v>180</v>
      </c>
      <c r="K140" s="18" t="s">
        <v>181</v>
      </c>
      <c r="L140" s="18" t="s">
        <v>1405</v>
      </c>
      <c r="M140" s="18" t="s">
        <v>40</v>
      </c>
      <c r="N140" s="18" t="s">
        <v>33</v>
      </c>
      <c r="O140" s="18" t="s">
        <v>41</v>
      </c>
    </row>
    <row r="141" spans="1:15" x14ac:dyDescent="0.3">
      <c r="A141" s="18" t="s">
        <v>349</v>
      </c>
      <c r="B141" s="18" t="s">
        <v>169</v>
      </c>
      <c r="C141" s="18" t="s">
        <v>1406</v>
      </c>
      <c r="D141" s="18" t="s">
        <v>17</v>
      </c>
      <c r="E141" s="18" t="s">
        <v>43</v>
      </c>
      <c r="F141" s="18" t="s">
        <v>132</v>
      </c>
      <c r="G141" s="18" t="s">
        <v>223</v>
      </c>
      <c r="H141" s="18" t="s">
        <v>1407</v>
      </c>
      <c r="I141" s="18" t="s">
        <v>1408</v>
      </c>
      <c r="J141" s="18" t="s">
        <v>147</v>
      </c>
      <c r="K141" s="18" t="s">
        <v>148</v>
      </c>
      <c r="L141" s="18" t="s">
        <v>1409</v>
      </c>
      <c r="M141" s="18" t="s">
        <v>32</v>
      </c>
      <c r="N141" s="18" t="s">
        <v>1410</v>
      </c>
      <c r="O141" s="18" t="s">
        <v>34</v>
      </c>
    </row>
    <row r="142" spans="1:15" x14ac:dyDescent="0.3">
      <c r="A142" s="18" t="s">
        <v>350</v>
      </c>
      <c r="B142" s="18" t="s">
        <v>351</v>
      </c>
      <c r="C142" s="18" t="s">
        <v>1411</v>
      </c>
      <c r="D142" s="18" t="s">
        <v>17</v>
      </c>
      <c r="E142" s="18" t="s">
        <v>68</v>
      </c>
      <c r="F142" s="18" t="s">
        <v>28</v>
      </c>
      <c r="G142" s="18" t="s">
        <v>29</v>
      </c>
      <c r="H142" s="18" t="s">
        <v>1412</v>
      </c>
      <c r="I142" s="18" t="s">
        <v>1413</v>
      </c>
      <c r="J142" s="18" t="s">
        <v>102</v>
      </c>
      <c r="K142" s="18" t="s">
        <v>103</v>
      </c>
      <c r="L142" s="18" t="s">
        <v>1414</v>
      </c>
      <c r="M142" s="18" t="s">
        <v>32</v>
      </c>
      <c r="N142" s="18" t="s">
        <v>1410</v>
      </c>
      <c r="O142" s="18" t="s">
        <v>34</v>
      </c>
    </row>
    <row r="143" spans="1:15" x14ac:dyDescent="0.3">
      <c r="A143" s="18" t="s">
        <v>352</v>
      </c>
      <c r="B143" s="18" t="s">
        <v>353</v>
      </c>
      <c r="C143" s="18" t="s">
        <v>1370</v>
      </c>
      <c r="D143" s="18" t="s">
        <v>17</v>
      </c>
      <c r="E143" s="18" t="s">
        <v>1415</v>
      </c>
      <c r="F143" s="18" t="s">
        <v>44</v>
      </c>
      <c r="G143" s="18" t="s">
        <v>45</v>
      </c>
      <c r="H143" s="18" t="s">
        <v>1416</v>
      </c>
      <c r="I143" s="18" t="s">
        <v>909</v>
      </c>
      <c r="J143" s="18" t="s">
        <v>244</v>
      </c>
      <c r="K143" s="18" t="s">
        <v>280</v>
      </c>
      <c r="L143" s="18" t="s">
        <v>1417</v>
      </c>
      <c r="M143" s="18" t="s">
        <v>32</v>
      </c>
      <c r="N143" s="18" t="s">
        <v>65</v>
      </c>
      <c r="O143" s="18" t="s">
        <v>41</v>
      </c>
    </row>
    <row r="144" spans="1:15" x14ac:dyDescent="0.3">
      <c r="A144" s="18" t="s">
        <v>354</v>
      </c>
      <c r="B144" s="18" t="s">
        <v>355</v>
      </c>
      <c r="C144" s="18" t="s">
        <v>1418</v>
      </c>
      <c r="D144" s="18" t="s">
        <v>51</v>
      </c>
      <c r="E144" s="18" t="s">
        <v>84</v>
      </c>
      <c r="F144" s="18" t="s">
        <v>19</v>
      </c>
      <c r="G144" s="18" t="s">
        <v>105</v>
      </c>
      <c r="H144" s="18" t="s">
        <v>1419</v>
      </c>
      <c r="I144" s="18" t="s">
        <v>1420</v>
      </c>
      <c r="J144" s="18" t="s">
        <v>267</v>
      </c>
      <c r="K144" s="18" t="s">
        <v>268</v>
      </c>
      <c r="L144" s="18" t="s">
        <v>1421</v>
      </c>
      <c r="M144" s="18" t="s">
        <v>23</v>
      </c>
      <c r="N144" s="18" t="s">
        <v>61</v>
      </c>
      <c r="O144" s="18" t="s">
        <v>938</v>
      </c>
    </row>
    <row r="145" spans="1:15" x14ac:dyDescent="0.3">
      <c r="A145" s="18" t="s">
        <v>909</v>
      </c>
      <c r="B145" s="18" t="s">
        <v>356</v>
      </c>
      <c r="C145" s="18" t="s">
        <v>1406</v>
      </c>
      <c r="D145" s="18" t="s">
        <v>51</v>
      </c>
      <c r="E145" s="18" t="s">
        <v>18</v>
      </c>
      <c r="F145" s="18" t="s">
        <v>132</v>
      </c>
      <c r="G145" s="18" t="s">
        <v>138</v>
      </c>
      <c r="H145" s="18" t="s">
        <v>909</v>
      </c>
      <c r="I145" s="18" t="s">
        <v>1255</v>
      </c>
      <c r="J145" s="18" t="s">
        <v>173</v>
      </c>
      <c r="K145" s="18" t="s">
        <v>1273</v>
      </c>
      <c r="L145" s="18" t="s">
        <v>1422</v>
      </c>
      <c r="M145" s="18" t="s">
        <v>1013</v>
      </c>
      <c r="N145" s="18" t="s">
        <v>33</v>
      </c>
      <c r="O145" s="18" t="s">
        <v>25</v>
      </c>
    </row>
    <row r="146" spans="1:15" x14ac:dyDescent="0.3">
      <c r="A146" s="18" t="s">
        <v>357</v>
      </c>
      <c r="B146" s="18" t="s">
        <v>157</v>
      </c>
      <c r="C146" s="18" t="s">
        <v>913</v>
      </c>
      <c r="D146" s="18" t="s">
        <v>51</v>
      </c>
      <c r="E146" s="18" t="s">
        <v>86</v>
      </c>
      <c r="F146" s="18" t="s">
        <v>44</v>
      </c>
      <c r="G146" s="18" t="s">
        <v>221</v>
      </c>
      <c r="H146" s="18" t="s">
        <v>1423</v>
      </c>
      <c r="I146" s="18" t="s">
        <v>1424</v>
      </c>
      <c r="J146" s="18" t="s">
        <v>154</v>
      </c>
      <c r="K146" s="18" t="s">
        <v>155</v>
      </c>
      <c r="L146" s="18" t="s">
        <v>1425</v>
      </c>
      <c r="M146" s="18" t="s">
        <v>40</v>
      </c>
      <c r="N146" s="18" t="s">
        <v>61</v>
      </c>
      <c r="O146" s="18" t="s">
        <v>25</v>
      </c>
    </row>
    <row r="147" spans="1:15" x14ac:dyDescent="0.3">
      <c r="A147" s="18" t="s">
        <v>358</v>
      </c>
      <c r="B147" s="18" t="s">
        <v>1426</v>
      </c>
      <c r="C147" s="18" t="s">
        <v>1427</v>
      </c>
      <c r="D147" s="18" t="s">
        <v>17</v>
      </c>
      <c r="E147" s="18" t="s">
        <v>1428</v>
      </c>
      <c r="F147" s="18" t="s">
        <v>132</v>
      </c>
      <c r="G147" s="18" t="s">
        <v>133</v>
      </c>
      <c r="H147" s="18" t="s">
        <v>1429</v>
      </c>
      <c r="I147" s="18" t="s">
        <v>909</v>
      </c>
      <c r="J147" s="18" t="s">
        <v>1430</v>
      </c>
      <c r="K147" s="18" t="s">
        <v>140</v>
      </c>
      <c r="L147" s="18" t="s">
        <v>1431</v>
      </c>
      <c r="M147" s="18" t="s">
        <v>60</v>
      </c>
      <c r="N147" s="18" t="s">
        <v>61</v>
      </c>
      <c r="O147" s="18" t="s">
        <v>41</v>
      </c>
    </row>
    <row r="148" spans="1:15" x14ac:dyDescent="0.3">
      <c r="A148" s="18" t="s">
        <v>359</v>
      </c>
      <c r="B148" s="18" t="s">
        <v>360</v>
      </c>
      <c r="C148" s="18" t="s">
        <v>909</v>
      </c>
      <c r="D148" s="18" t="s">
        <v>17</v>
      </c>
      <c r="E148" s="18" t="s">
        <v>111</v>
      </c>
      <c r="F148" s="18" t="s">
        <v>87</v>
      </c>
      <c r="G148" s="18" t="s">
        <v>324</v>
      </c>
      <c r="H148" s="18" t="s">
        <v>1432</v>
      </c>
      <c r="I148" s="18" t="s">
        <v>966</v>
      </c>
      <c r="J148" s="18" t="s">
        <v>171</v>
      </c>
      <c r="K148" s="18" t="s">
        <v>113</v>
      </c>
      <c r="L148" s="18" t="s">
        <v>1433</v>
      </c>
      <c r="M148" s="18" t="s">
        <v>23</v>
      </c>
      <c r="N148" s="18" t="s">
        <v>65</v>
      </c>
      <c r="O148" s="18" t="s">
        <v>938</v>
      </c>
    </row>
    <row r="149" spans="1:15" x14ac:dyDescent="0.3">
      <c r="A149" s="18" t="s">
        <v>361</v>
      </c>
      <c r="B149" s="18" t="s">
        <v>362</v>
      </c>
      <c r="C149" s="18" t="s">
        <v>1427</v>
      </c>
      <c r="D149" s="18" t="s">
        <v>17</v>
      </c>
      <c r="E149" s="18" t="s">
        <v>64</v>
      </c>
      <c r="F149" s="18" t="s">
        <v>132</v>
      </c>
      <c r="G149" s="18" t="s">
        <v>1110</v>
      </c>
      <c r="H149" s="18" t="s">
        <v>1434</v>
      </c>
      <c r="I149" s="18" t="s">
        <v>1435</v>
      </c>
      <c r="J149" s="18" t="s">
        <v>173</v>
      </c>
      <c r="K149" s="18" t="s">
        <v>174</v>
      </c>
      <c r="L149" s="18" t="s">
        <v>1436</v>
      </c>
      <c r="M149" s="18" t="s">
        <v>60</v>
      </c>
      <c r="N149" s="18" t="s">
        <v>24</v>
      </c>
      <c r="O149" s="18" t="s">
        <v>25</v>
      </c>
    </row>
    <row r="150" spans="1:15" x14ac:dyDescent="0.3">
      <c r="A150" s="18" t="s">
        <v>363</v>
      </c>
      <c r="B150" s="18" t="s">
        <v>364</v>
      </c>
      <c r="C150" s="18" t="s">
        <v>1437</v>
      </c>
      <c r="D150" s="18" t="s">
        <v>17</v>
      </c>
      <c r="E150" s="18" t="s">
        <v>124</v>
      </c>
      <c r="F150" s="18" t="s">
        <v>19</v>
      </c>
      <c r="G150" s="18" t="s">
        <v>105</v>
      </c>
      <c r="H150" s="18" t="s">
        <v>1438</v>
      </c>
      <c r="I150" s="18" t="s">
        <v>909</v>
      </c>
      <c r="J150" s="18" t="s">
        <v>120</v>
      </c>
      <c r="K150" s="18" t="s">
        <v>121</v>
      </c>
      <c r="L150" s="18" t="s">
        <v>1439</v>
      </c>
      <c r="M150" s="18" t="s">
        <v>47</v>
      </c>
      <c r="N150" s="18" t="s">
        <v>65</v>
      </c>
      <c r="O150" s="18" t="s">
        <v>41</v>
      </c>
    </row>
    <row r="151" spans="1:15" x14ac:dyDescent="0.3">
      <c r="A151" s="18" t="s">
        <v>365</v>
      </c>
      <c r="B151" s="18" t="s">
        <v>100</v>
      </c>
      <c r="C151" s="18" t="s">
        <v>978</v>
      </c>
      <c r="D151" s="18" t="s">
        <v>96</v>
      </c>
      <c r="E151" s="18" t="s">
        <v>909</v>
      </c>
      <c r="F151" s="18" t="s">
        <v>132</v>
      </c>
      <c r="G151" s="18" t="s">
        <v>223</v>
      </c>
      <c r="H151" s="18" t="s">
        <v>1440</v>
      </c>
      <c r="I151" s="18" t="s">
        <v>909</v>
      </c>
      <c r="J151" s="18" t="s">
        <v>139</v>
      </c>
      <c r="K151" s="18" t="s">
        <v>140</v>
      </c>
      <c r="L151" s="18" t="s">
        <v>1441</v>
      </c>
      <c r="M151" s="18" t="s">
        <v>1063</v>
      </c>
      <c r="N151" s="18" t="s">
        <v>33</v>
      </c>
      <c r="O151" s="18" t="s">
        <v>41</v>
      </c>
    </row>
    <row r="152" spans="1:15" x14ac:dyDescent="0.3">
      <c r="A152" s="18" t="s">
        <v>366</v>
      </c>
      <c r="B152" s="18" t="s">
        <v>367</v>
      </c>
      <c r="C152" s="18" t="s">
        <v>1442</v>
      </c>
      <c r="D152" s="18" t="s">
        <v>51</v>
      </c>
      <c r="E152" s="18" t="s">
        <v>64</v>
      </c>
      <c r="F152" s="18" t="s">
        <v>132</v>
      </c>
      <c r="G152" s="18" t="s">
        <v>223</v>
      </c>
      <c r="H152" s="18" t="s">
        <v>1443</v>
      </c>
      <c r="I152" s="18" t="s">
        <v>1444</v>
      </c>
      <c r="J152" s="18" t="s">
        <v>134</v>
      </c>
      <c r="K152" s="18" t="s">
        <v>135</v>
      </c>
      <c r="L152" s="18" t="s">
        <v>1445</v>
      </c>
      <c r="M152" s="18" t="s">
        <v>1013</v>
      </c>
      <c r="N152" s="18" t="s">
        <v>909</v>
      </c>
      <c r="O152" s="18" t="s">
        <v>25</v>
      </c>
    </row>
    <row r="153" spans="1:15" x14ac:dyDescent="0.3">
      <c r="A153" s="18" t="s">
        <v>368</v>
      </c>
      <c r="B153" s="18" t="s">
        <v>162</v>
      </c>
      <c r="C153" s="18" t="s">
        <v>1446</v>
      </c>
      <c r="D153" s="18" t="s">
        <v>17</v>
      </c>
      <c r="E153" s="18" t="s">
        <v>111</v>
      </c>
      <c r="F153" s="18" t="s">
        <v>53</v>
      </c>
      <c r="G153" s="18" t="s">
        <v>143</v>
      </c>
      <c r="H153" s="18" t="s">
        <v>1447</v>
      </c>
      <c r="I153" s="18" t="s">
        <v>1448</v>
      </c>
      <c r="J153" s="18" t="s">
        <v>200</v>
      </c>
      <c r="K153" s="18" t="s">
        <v>201</v>
      </c>
      <c r="L153" s="18" t="s">
        <v>1449</v>
      </c>
      <c r="M153" s="18" t="s">
        <v>32</v>
      </c>
      <c r="N153" s="18" t="s">
        <v>33</v>
      </c>
      <c r="O153" s="18" t="s">
        <v>25</v>
      </c>
    </row>
    <row r="154" spans="1:15" x14ac:dyDescent="0.3">
      <c r="A154" s="18" t="s">
        <v>369</v>
      </c>
      <c r="B154" s="18" t="s">
        <v>370</v>
      </c>
      <c r="C154" s="18" t="s">
        <v>919</v>
      </c>
      <c r="D154" s="18" t="s">
        <v>17</v>
      </c>
      <c r="E154" s="18" t="s">
        <v>84</v>
      </c>
      <c r="F154" s="18" t="s">
        <v>132</v>
      </c>
      <c r="G154" s="18" t="s">
        <v>133</v>
      </c>
      <c r="H154" s="18" t="s">
        <v>909</v>
      </c>
      <c r="I154" s="18" t="s">
        <v>1036</v>
      </c>
      <c r="J154" s="18" t="s">
        <v>147</v>
      </c>
      <c r="K154" s="18" t="s">
        <v>148</v>
      </c>
      <c r="L154" s="18" t="s">
        <v>1450</v>
      </c>
      <c r="M154" s="18" t="s">
        <v>40</v>
      </c>
      <c r="N154" s="18" t="s">
        <v>33</v>
      </c>
      <c r="O154" s="18" t="s">
        <v>1357</v>
      </c>
    </row>
    <row r="155" spans="1:15" x14ac:dyDescent="0.3">
      <c r="A155" s="18" t="s">
        <v>909</v>
      </c>
      <c r="B155" s="18" t="s">
        <v>115</v>
      </c>
      <c r="C155" s="18" t="s">
        <v>956</v>
      </c>
      <c r="D155" s="18" t="s">
        <v>51</v>
      </c>
      <c r="E155" s="18" t="s">
        <v>1367</v>
      </c>
      <c r="F155" s="18" t="s">
        <v>132</v>
      </c>
      <c r="G155" s="18" t="s">
        <v>138</v>
      </c>
      <c r="H155" s="18" t="s">
        <v>1151</v>
      </c>
      <c r="I155" s="18" t="s">
        <v>909</v>
      </c>
      <c r="J155" s="18" t="s">
        <v>134</v>
      </c>
      <c r="K155" s="18" t="s">
        <v>135</v>
      </c>
      <c r="L155" s="18" t="s">
        <v>1451</v>
      </c>
      <c r="M155" s="18" t="s">
        <v>99</v>
      </c>
      <c r="N155" s="18" t="s">
        <v>1128</v>
      </c>
      <c r="O155" s="18" t="s">
        <v>41</v>
      </c>
    </row>
    <row r="156" spans="1:15" x14ac:dyDescent="0.3">
      <c r="A156" s="18" t="s">
        <v>371</v>
      </c>
      <c r="B156" s="18" t="s">
        <v>372</v>
      </c>
      <c r="C156" s="18" t="s">
        <v>1452</v>
      </c>
      <c r="D156" s="18" t="s">
        <v>17</v>
      </c>
      <c r="E156" s="18" t="s">
        <v>86</v>
      </c>
      <c r="F156" s="18" t="s">
        <v>87</v>
      </c>
      <c r="G156" s="18" t="s">
        <v>324</v>
      </c>
      <c r="H156" s="18" t="s">
        <v>1453</v>
      </c>
      <c r="I156" s="18" t="s">
        <v>909</v>
      </c>
      <c r="J156" s="18" t="s">
        <v>171</v>
      </c>
      <c r="K156" s="18" t="s">
        <v>113</v>
      </c>
      <c r="L156" s="18" t="s">
        <v>1454</v>
      </c>
      <c r="M156" s="18" t="s">
        <v>60</v>
      </c>
      <c r="N156" s="18" t="s">
        <v>48</v>
      </c>
      <c r="O156" s="18" t="s">
        <v>41</v>
      </c>
    </row>
    <row r="157" spans="1:15" x14ac:dyDescent="0.3">
      <c r="A157" s="18" t="s">
        <v>373</v>
      </c>
      <c r="B157" s="18" t="s">
        <v>374</v>
      </c>
      <c r="C157" s="18" t="s">
        <v>999</v>
      </c>
      <c r="D157" s="18" t="s">
        <v>51</v>
      </c>
      <c r="E157" s="18" t="s">
        <v>124</v>
      </c>
      <c r="F157" s="18" t="s">
        <v>53</v>
      </c>
      <c r="G157" s="18" t="s">
        <v>69</v>
      </c>
      <c r="H157" s="18" t="s">
        <v>944</v>
      </c>
      <c r="I157" s="18" t="s">
        <v>1455</v>
      </c>
      <c r="J157" s="18" t="s">
        <v>55</v>
      </c>
      <c r="K157" s="18" t="s">
        <v>56</v>
      </c>
      <c r="L157" s="18" t="s">
        <v>1456</v>
      </c>
      <c r="M157" s="18" t="s">
        <v>1063</v>
      </c>
      <c r="N157" s="18" t="s">
        <v>909</v>
      </c>
      <c r="O157" s="18" t="s">
        <v>938</v>
      </c>
    </row>
    <row r="158" spans="1:15" x14ac:dyDescent="0.3">
      <c r="A158" s="18" t="s">
        <v>375</v>
      </c>
      <c r="B158" s="18" t="s">
        <v>376</v>
      </c>
      <c r="C158" s="18" t="s">
        <v>1457</v>
      </c>
      <c r="D158" s="18" t="s">
        <v>17</v>
      </c>
      <c r="E158" s="18" t="s">
        <v>52</v>
      </c>
      <c r="F158" s="18" t="s">
        <v>53</v>
      </c>
      <c r="G158" s="18" t="s">
        <v>54</v>
      </c>
      <c r="H158" s="18" t="s">
        <v>1458</v>
      </c>
      <c r="I158" s="18" t="s">
        <v>1459</v>
      </c>
      <c r="J158" s="18" t="s">
        <v>70</v>
      </c>
      <c r="K158" s="18" t="s">
        <v>71</v>
      </c>
      <c r="L158" s="18" t="s">
        <v>1460</v>
      </c>
      <c r="M158" s="18" t="s">
        <v>99</v>
      </c>
      <c r="N158" s="18" t="s">
        <v>61</v>
      </c>
      <c r="O158" s="18" t="s">
        <v>93</v>
      </c>
    </row>
    <row r="159" spans="1:15" x14ac:dyDescent="0.3">
      <c r="A159" s="18" t="s">
        <v>377</v>
      </c>
      <c r="B159" s="18" t="s">
        <v>179</v>
      </c>
      <c r="C159" s="18" t="s">
        <v>1461</v>
      </c>
      <c r="D159" s="18" t="s">
        <v>51</v>
      </c>
      <c r="E159" s="18" t="s">
        <v>52</v>
      </c>
      <c r="F159" s="18" t="s">
        <v>53</v>
      </c>
      <c r="G159" s="18" t="s">
        <v>69</v>
      </c>
      <c r="H159" s="18" t="s">
        <v>1385</v>
      </c>
      <c r="I159" s="18" t="s">
        <v>1462</v>
      </c>
      <c r="J159" s="18" t="s">
        <v>200</v>
      </c>
      <c r="K159" s="18" t="s">
        <v>201</v>
      </c>
      <c r="L159" s="18" t="s">
        <v>1463</v>
      </c>
      <c r="M159" s="18" t="s">
        <v>909</v>
      </c>
      <c r="N159" s="18" t="s">
        <v>24</v>
      </c>
      <c r="O159" s="18" t="s">
        <v>93</v>
      </c>
    </row>
    <row r="160" spans="1:15" x14ac:dyDescent="0.3">
      <c r="A160" s="18" t="s">
        <v>378</v>
      </c>
      <c r="B160" s="18" t="s">
        <v>379</v>
      </c>
      <c r="C160" s="18" t="s">
        <v>1464</v>
      </c>
      <c r="D160" s="18" t="s">
        <v>51</v>
      </c>
      <c r="E160" s="18" t="s">
        <v>37</v>
      </c>
      <c r="F160" s="18" t="s">
        <v>909</v>
      </c>
      <c r="G160" s="18" t="s">
        <v>143</v>
      </c>
      <c r="H160" s="18" t="s">
        <v>1465</v>
      </c>
      <c r="I160" s="18" t="s">
        <v>909</v>
      </c>
      <c r="J160" s="18" t="s">
        <v>107</v>
      </c>
      <c r="K160" s="18" t="s">
        <v>108</v>
      </c>
      <c r="L160" s="18" t="s">
        <v>1466</v>
      </c>
      <c r="M160" s="18" t="s">
        <v>99</v>
      </c>
      <c r="N160" s="18" t="s">
        <v>65</v>
      </c>
      <c r="O160" s="18" t="s">
        <v>1467</v>
      </c>
    </row>
    <row r="161" spans="1:15" x14ac:dyDescent="0.3">
      <c r="A161" s="18" t="s">
        <v>380</v>
      </c>
      <c r="B161" s="18" t="s">
        <v>381</v>
      </c>
      <c r="C161" s="18" t="s">
        <v>1468</v>
      </c>
      <c r="D161" s="18" t="s">
        <v>908</v>
      </c>
      <c r="E161" s="18" t="s">
        <v>37</v>
      </c>
      <c r="F161" s="18" t="s">
        <v>28</v>
      </c>
      <c r="G161" s="18" t="s">
        <v>195</v>
      </c>
      <c r="H161" s="18" t="s">
        <v>1093</v>
      </c>
      <c r="I161" s="18" t="s">
        <v>1355</v>
      </c>
      <c r="J161" s="18" t="s">
        <v>75</v>
      </c>
      <c r="K161" s="18" t="s">
        <v>76</v>
      </c>
      <c r="L161" s="18" t="s">
        <v>1469</v>
      </c>
      <c r="M161" s="18" t="s">
        <v>60</v>
      </c>
      <c r="N161" s="18" t="s">
        <v>61</v>
      </c>
      <c r="O161" s="18" t="s">
        <v>93</v>
      </c>
    </row>
    <row r="162" spans="1:15" x14ac:dyDescent="0.3">
      <c r="A162" s="18" t="s">
        <v>382</v>
      </c>
      <c r="B162" s="18" t="s">
        <v>106</v>
      </c>
      <c r="C162" s="18" t="s">
        <v>1470</v>
      </c>
      <c r="D162" s="18" t="s">
        <v>51</v>
      </c>
      <c r="E162" s="18" t="s">
        <v>86</v>
      </c>
      <c r="F162" s="18" t="s">
        <v>38</v>
      </c>
      <c r="G162" s="18" t="s">
        <v>1471</v>
      </c>
      <c r="H162" s="18" t="s">
        <v>1472</v>
      </c>
      <c r="I162" s="18" t="s">
        <v>1473</v>
      </c>
      <c r="J162" s="18" t="s">
        <v>916</v>
      </c>
      <c r="K162" s="18" t="s">
        <v>39</v>
      </c>
      <c r="L162" s="18" t="s">
        <v>1474</v>
      </c>
      <c r="M162" s="18" t="s">
        <v>72</v>
      </c>
      <c r="N162" s="18" t="s">
        <v>24</v>
      </c>
      <c r="O162" s="18" t="s">
        <v>938</v>
      </c>
    </row>
    <row r="163" spans="1:15" x14ac:dyDescent="0.3">
      <c r="A163" s="18" t="s">
        <v>383</v>
      </c>
      <c r="B163" s="18" t="s">
        <v>384</v>
      </c>
      <c r="C163" s="18" t="s">
        <v>1475</v>
      </c>
      <c r="D163" s="18" t="s">
        <v>51</v>
      </c>
      <c r="E163" s="18" t="s">
        <v>84</v>
      </c>
      <c r="F163" s="18" t="s">
        <v>28</v>
      </c>
      <c r="G163" s="18" t="s">
        <v>195</v>
      </c>
      <c r="H163" s="18" t="s">
        <v>1476</v>
      </c>
      <c r="I163" s="18" t="s">
        <v>1477</v>
      </c>
      <c r="J163" s="18" t="s">
        <v>30</v>
      </c>
      <c r="K163" s="18" t="s">
        <v>31</v>
      </c>
      <c r="L163" s="18" t="s">
        <v>909</v>
      </c>
      <c r="M163" s="18" t="s">
        <v>99</v>
      </c>
      <c r="N163" s="18" t="s">
        <v>61</v>
      </c>
      <c r="O163" s="18" t="s">
        <v>938</v>
      </c>
    </row>
    <row r="164" spans="1:15" x14ac:dyDescent="0.3">
      <c r="A164" s="18" t="s">
        <v>385</v>
      </c>
      <c r="B164" s="18" t="s">
        <v>386</v>
      </c>
      <c r="C164" s="18" t="s">
        <v>903</v>
      </c>
      <c r="D164" s="18" t="s">
        <v>51</v>
      </c>
      <c r="E164" s="18" t="s">
        <v>43</v>
      </c>
      <c r="F164" s="18" t="s">
        <v>28</v>
      </c>
      <c r="G164" s="18" t="s">
        <v>101</v>
      </c>
      <c r="H164" s="18" t="s">
        <v>1478</v>
      </c>
      <c r="I164" s="18" t="s">
        <v>1479</v>
      </c>
      <c r="J164" s="18" t="s">
        <v>909</v>
      </c>
      <c r="K164" s="18" t="s">
        <v>103</v>
      </c>
      <c r="L164" s="18" t="s">
        <v>1480</v>
      </c>
      <c r="M164" s="18" t="s">
        <v>32</v>
      </c>
      <c r="N164" s="18" t="s">
        <v>48</v>
      </c>
      <c r="O164" s="18" t="s">
        <v>25</v>
      </c>
    </row>
    <row r="165" spans="1:15" x14ac:dyDescent="0.3">
      <c r="A165" s="18" t="s">
        <v>387</v>
      </c>
      <c r="B165" s="18" t="s">
        <v>388</v>
      </c>
      <c r="C165" s="18" t="s">
        <v>1481</v>
      </c>
      <c r="D165" s="18" t="s">
        <v>51</v>
      </c>
      <c r="E165" s="18" t="s">
        <v>111</v>
      </c>
      <c r="F165" s="18" t="s">
        <v>28</v>
      </c>
      <c r="G165" s="18" t="s">
        <v>101</v>
      </c>
      <c r="H165" s="18" t="s">
        <v>1482</v>
      </c>
      <c r="I165" s="18" t="s">
        <v>1355</v>
      </c>
      <c r="J165" s="18" t="s">
        <v>75</v>
      </c>
      <c r="K165" s="18" t="s">
        <v>76</v>
      </c>
      <c r="L165" s="18" t="s">
        <v>1483</v>
      </c>
      <c r="M165" s="18" t="s">
        <v>40</v>
      </c>
      <c r="N165" s="18" t="s">
        <v>909</v>
      </c>
      <c r="O165" s="18" t="s">
        <v>93</v>
      </c>
    </row>
    <row r="166" spans="1:15" x14ac:dyDescent="0.3">
      <c r="A166" s="18" t="s">
        <v>1484</v>
      </c>
      <c r="B166" s="18" t="s">
        <v>389</v>
      </c>
      <c r="C166" s="18" t="s">
        <v>1030</v>
      </c>
      <c r="D166" s="18" t="s">
        <v>51</v>
      </c>
      <c r="E166" s="18" t="s">
        <v>64</v>
      </c>
      <c r="F166" s="18" t="s">
        <v>19</v>
      </c>
      <c r="G166" s="18" t="s">
        <v>158</v>
      </c>
      <c r="H166" s="18" t="s">
        <v>1485</v>
      </c>
      <c r="I166" s="18" t="s">
        <v>909</v>
      </c>
      <c r="J166" s="18" t="s">
        <v>21</v>
      </c>
      <c r="K166" s="18" t="s">
        <v>22</v>
      </c>
      <c r="L166" s="18" t="s">
        <v>1486</v>
      </c>
      <c r="M166" s="18" t="s">
        <v>40</v>
      </c>
      <c r="N166" s="18" t="s">
        <v>33</v>
      </c>
      <c r="O166" s="18" t="s">
        <v>41</v>
      </c>
    </row>
    <row r="167" spans="1:15" x14ac:dyDescent="0.3">
      <c r="A167" s="18" t="s">
        <v>390</v>
      </c>
      <c r="B167" s="18" t="s">
        <v>58</v>
      </c>
      <c r="C167" s="18" t="s">
        <v>1258</v>
      </c>
      <c r="D167" s="18" t="s">
        <v>920</v>
      </c>
      <c r="E167" s="18" t="s">
        <v>43</v>
      </c>
      <c r="F167" s="18" t="s">
        <v>934</v>
      </c>
      <c r="G167" s="18" t="s">
        <v>167</v>
      </c>
      <c r="H167" s="18" t="s">
        <v>1487</v>
      </c>
      <c r="I167" s="18" t="s">
        <v>1260</v>
      </c>
      <c r="J167" s="18" t="s">
        <v>184</v>
      </c>
      <c r="K167" s="18" t="s">
        <v>59</v>
      </c>
      <c r="L167" s="18" t="s">
        <v>1488</v>
      </c>
      <c r="M167" s="18" t="s">
        <v>23</v>
      </c>
      <c r="N167" s="18" t="s">
        <v>61</v>
      </c>
      <c r="O167" s="18" t="s">
        <v>938</v>
      </c>
    </row>
    <row r="168" spans="1:15" x14ac:dyDescent="0.3">
      <c r="A168" s="18" t="s">
        <v>391</v>
      </c>
      <c r="B168" s="18" t="s">
        <v>392</v>
      </c>
      <c r="C168" s="18" t="s">
        <v>1489</v>
      </c>
      <c r="D168" s="18" t="s">
        <v>17</v>
      </c>
      <c r="E168" s="18" t="s">
        <v>64</v>
      </c>
      <c r="F168" s="18" t="s">
        <v>87</v>
      </c>
      <c r="G168" s="18" t="s">
        <v>88</v>
      </c>
      <c r="H168" s="18" t="s">
        <v>1490</v>
      </c>
      <c r="I168" s="18" t="s">
        <v>1491</v>
      </c>
      <c r="J168" s="18" t="s">
        <v>89</v>
      </c>
      <c r="K168" s="18" t="s">
        <v>92</v>
      </c>
      <c r="L168" s="18" t="s">
        <v>909</v>
      </c>
      <c r="M168" s="18" t="s">
        <v>23</v>
      </c>
      <c r="N168" s="18" t="s">
        <v>991</v>
      </c>
      <c r="O168" s="18" t="s">
        <v>25</v>
      </c>
    </row>
    <row r="169" spans="1:15" x14ac:dyDescent="0.3">
      <c r="A169" s="18" t="s">
        <v>393</v>
      </c>
      <c r="B169" s="18" t="s">
        <v>909</v>
      </c>
      <c r="C169" s="18" t="s">
        <v>909</v>
      </c>
      <c r="D169" s="18" t="s">
        <v>17</v>
      </c>
      <c r="E169" s="18" t="s">
        <v>86</v>
      </c>
      <c r="F169" s="18" t="s">
        <v>53</v>
      </c>
      <c r="G169" s="18" t="s">
        <v>54</v>
      </c>
      <c r="H169" s="18" t="s">
        <v>1492</v>
      </c>
      <c r="I169" s="18" t="s">
        <v>1493</v>
      </c>
      <c r="J169" s="18" t="s">
        <v>909</v>
      </c>
      <c r="K169" s="18" t="s">
        <v>201</v>
      </c>
      <c r="L169" s="18" t="s">
        <v>1494</v>
      </c>
      <c r="M169" s="18" t="s">
        <v>23</v>
      </c>
      <c r="N169" s="18" t="s">
        <v>942</v>
      </c>
      <c r="O169" s="18" t="s">
        <v>25</v>
      </c>
    </row>
    <row r="170" spans="1:15" x14ac:dyDescent="0.3">
      <c r="A170" s="18" t="s">
        <v>394</v>
      </c>
      <c r="B170" s="18" t="s">
        <v>395</v>
      </c>
      <c r="C170" s="18" t="s">
        <v>1282</v>
      </c>
      <c r="D170" s="18" t="s">
        <v>51</v>
      </c>
      <c r="E170" s="18" t="s">
        <v>111</v>
      </c>
      <c r="F170" s="18" t="s">
        <v>28</v>
      </c>
      <c r="G170" s="18" t="s">
        <v>195</v>
      </c>
      <c r="H170" s="18" t="s">
        <v>1495</v>
      </c>
      <c r="I170" s="18" t="s">
        <v>1146</v>
      </c>
      <c r="J170" s="18" t="s">
        <v>102</v>
      </c>
      <c r="K170" s="18" t="s">
        <v>103</v>
      </c>
      <c r="L170" s="18" t="s">
        <v>1496</v>
      </c>
      <c r="M170" s="18" t="s">
        <v>47</v>
      </c>
      <c r="N170" s="18" t="s">
        <v>33</v>
      </c>
      <c r="O170" s="18" t="s">
        <v>1357</v>
      </c>
    </row>
    <row r="171" spans="1:15" x14ac:dyDescent="0.3">
      <c r="A171" s="18" t="s">
        <v>396</v>
      </c>
      <c r="B171" s="18" t="s">
        <v>305</v>
      </c>
      <c r="C171" s="18" t="s">
        <v>1351</v>
      </c>
      <c r="D171" s="18" t="s">
        <v>17</v>
      </c>
      <c r="E171" s="18" t="s">
        <v>68</v>
      </c>
      <c r="F171" s="18" t="s">
        <v>44</v>
      </c>
      <c r="G171" s="18" t="s">
        <v>153</v>
      </c>
      <c r="H171" s="18" t="s">
        <v>1497</v>
      </c>
      <c r="I171" s="18" t="s">
        <v>1498</v>
      </c>
      <c r="J171" s="18" t="s">
        <v>922</v>
      </c>
      <c r="K171" s="18" t="s">
        <v>46</v>
      </c>
      <c r="L171" s="18" t="s">
        <v>1499</v>
      </c>
      <c r="M171" s="18" t="s">
        <v>1063</v>
      </c>
      <c r="N171" s="18" t="s">
        <v>33</v>
      </c>
      <c r="O171" s="18" t="s">
        <v>34</v>
      </c>
    </row>
    <row r="172" spans="1:15" x14ac:dyDescent="0.3">
      <c r="A172" s="18" t="s">
        <v>397</v>
      </c>
      <c r="B172" s="18" t="s">
        <v>398</v>
      </c>
      <c r="C172" s="18" t="s">
        <v>1014</v>
      </c>
      <c r="D172" s="18" t="s">
        <v>51</v>
      </c>
      <c r="E172" s="18" t="s">
        <v>111</v>
      </c>
      <c r="F172" s="18" t="s">
        <v>19</v>
      </c>
      <c r="G172" s="18" t="s">
        <v>20</v>
      </c>
      <c r="H172" s="18" t="s">
        <v>1500</v>
      </c>
      <c r="I172" s="18" t="s">
        <v>1501</v>
      </c>
      <c r="J172" s="18" t="s">
        <v>21</v>
      </c>
      <c r="K172" s="18" t="s">
        <v>22</v>
      </c>
      <c r="L172" s="18" t="s">
        <v>1502</v>
      </c>
      <c r="M172" s="18" t="s">
        <v>32</v>
      </c>
      <c r="N172" s="18" t="s">
        <v>33</v>
      </c>
      <c r="O172" s="18" t="s">
        <v>938</v>
      </c>
    </row>
    <row r="173" spans="1:15" x14ac:dyDescent="0.3">
      <c r="A173" s="18" t="s">
        <v>399</v>
      </c>
      <c r="B173" s="18" t="s">
        <v>234</v>
      </c>
      <c r="C173" s="18" t="s">
        <v>1033</v>
      </c>
      <c r="D173" s="18" t="s">
        <v>909</v>
      </c>
      <c r="E173" s="18" t="s">
        <v>84</v>
      </c>
      <c r="F173" s="18" t="s">
        <v>28</v>
      </c>
      <c r="G173" s="18" t="s">
        <v>195</v>
      </c>
      <c r="H173" s="18" t="s">
        <v>1094</v>
      </c>
      <c r="I173" s="18" t="s">
        <v>909</v>
      </c>
      <c r="J173" s="18" t="s">
        <v>30</v>
      </c>
      <c r="K173" s="18" t="s">
        <v>31</v>
      </c>
      <c r="L173" s="18" t="s">
        <v>1503</v>
      </c>
      <c r="M173" s="18" t="s">
        <v>72</v>
      </c>
      <c r="N173" s="18" t="s">
        <v>61</v>
      </c>
      <c r="O173" s="18" t="s">
        <v>41</v>
      </c>
    </row>
    <row r="174" spans="1:15" x14ac:dyDescent="0.3">
      <c r="A174" s="18" t="s">
        <v>1504</v>
      </c>
      <c r="B174" s="18" t="s">
        <v>400</v>
      </c>
      <c r="C174" s="18" t="s">
        <v>978</v>
      </c>
      <c r="D174" s="18" t="s">
        <v>17</v>
      </c>
      <c r="E174" s="18" t="s">
        <v>37</v>
      </c>
      <c r="F174" s="18" t="s">
        <v>1505</v>
      </c>
      <c r="G174" s="18" t="s">
        <v>54</v>
      </c>
      <c r="H174" s="18" t="s">
        <v>1180</v>
      </c>
      <c r="I174" s="18" t="s">
        <v>1506</v>
      </c>
      <c r="J174" s="18" t="s">
        <v>55</v>
      </c>
      <c r="K174" s="18" t="s">
        <v>56</v>
      </c>
      <c r="L174" s="18" t="s">
        <v>1507</v>
      </c>
      <c r="M174" s="18" t="s">
        <v>47</v>
      </c>
      <c r="N174" s="18" t="s">
        <v>1508</v>
      </c>
      <c r="O174" s="18" t="s">
        <v>34</v>
      </c>
    </row>
    <row r="175" spans="1:15" x14ac:dyDescent="0.3">
      <c r="A175" s="18" t="s">
        <v>401</v>
      </c>
      <c r="B175" s="18" t="s">
        <v>225</v>
      </c>
      <c r="C175" s="18" t="s">
        <v>909</v>
      </c>
      <c r="D175" s="18" t="s">
        <v>17</v>
      </c>
      <c r="E175" s="18" t="s">
        <v>52</v>
      </c>
      <c r="F175" s="18" t="s">
        <v>44</v>
      </c>
      <c r="G175" s="18" t="s">
        <v>45</v>
      </c>
      <c r="H175" s="18" t="s">
        <v>1308</v>
      </c>
      <c r="I175" s="18" t="s">
        <v>1509</v>
      </c>
      <c r="J175" s="18" t="s">
        <v>154</v>
      </c>
      <c r="K175" s="18" t="s">
        <v>155</v>
      </c>
      <c r="L175" s="18" t="s">
        <v>1510</v>
      </c>
      <c r="M175" s="18" t="s">
        <v>40</v>
      </c>
      <c r="N175" s="18" t="s">
        <v>24</v>
      </c>
      <c r="O175" s="18" t="s">
        <v>25</v>
      </c>
    </row>
    <row r="176" spans="1:15" x14ac:dyDescent="0.3">
      <c r="A176" s="18" t="s">
        <v>402</v>
      </c>
      <c r="B176" s="18" t="s">
        <v>909</v>
      </c>
      <c r="C176" s="18" t="s">
        <v>1511</v>
      </c>
      <c r="D176" s="18" t="s">
        <v>17</v>
      </c>
      <c r="E176" s="18" t="s">
        <v>86</v>
      </c>
      <c r="F176" s="18" t="s">
        <v>132</v>
      </c>
      <c r="G176" s="18" t="s">
        <v>223</v>
      </c>
      <c r="H176" s="18" t="s">
        <v>1512</v>
      </c>
      <c r="I176" s="18" t="s">
        <v>910</v>
      </c>
      <c r="J176" s="18" t="s">
        <v>134</v>
      </c>
      <c r="K176" s="18" t="s">
        <v>135</v>
      </c>
      <c r="L176" s="18" t="s">
        <v>1513</v>
      </c>
      <c r="M176" s="18" t="s">
        <v>1063</v>
      </c>
      <c r="N176" s="18" t="s">
        <v>61</v>
      </c>
      <c r="O176" s="18" t="s">
        <v>25</v>
      </c>
    </row>
    <row r="177" spans="1:15" x14ac:dyDescent="0.3">
      <c r="A177" s="18" t="s">
        <v>1514</v>
      </c>
      <c r="B177" s="18" t="s">
        <v>403</v>
      </c>
      <c r="C177" s="18" t="s">
        <v>1115</v>
      </c>
      <c r="D177" s="18" t="s">
        <v>17</v>
      </c>
      <c r="E177" s="18" t="s">
        <v>37</v>
      </c>
      <c r="F177" s="18" t="s">
        <v>132</v>
      </c>
      <c r="G177" s="18" t="s">
        <v>223</v>
      </c>
      <c r="H177" s="18" t="s">
        <v>909</v>
      </c>
      <c r="I177" s="18" t="s">
        <v>909</v>
      </c>
      <c r="J177" s="18" t="s">
        <v>134</v>
      </c>
      <c r="K177" s="18" t="s">
        <v>135</v>
      </c>
      <c r="L177" s="18" t="s">
        <v>1515</v>
      </c>
      <c r="M177" s="18" t="s">
        <v>32</v>
      </c>
      <c r="N177" s="18" t="s">
        <v>48</v>
      </c>
      <c r="O177" s="18" t="s">
        <v>1467</v>
      </c>
    </row>
    <row r="178" spans="1:15" x14ac:dyDescent="0.3">
      <c r="A178" s="18" t="s">
        <v>404</v>
      </c>
      <c r="B178" s="18" t="s">
        <v>213</v>
      </c>
      <c r="C178" s="18" t="s">
        <v>1464</v>
      </c>
      <c r="D178" s="18" t="s">
        <v>17</v>
      </c>
      <c r="E178" s="18" t="s">
        <v>18</v>
      </c>
      <c r="F178" s="18" t="s">
        <v>28</v>
      </c>
      <c r="G178" s="18" t="s">
        <v>29</v>
      </c>
      <c r="H178" s="18" t="s">
        <v>1516</v>
      </c>
      <c r="I178" s="18" t="s">
        <v>1134</v>
      </c>
      <c r="J178" s="18" t="s">
        <v>75</v>
      </c>
      <c r="K178" s="18" t="s">
        <v>76</v>
      </c>
      <c r="L178" s="18" t="s">
        <v>1517</v>
      </c>
      <c r="M178" s="18" t="s">
        <v>1013</v>
      </c>
      <c r="N178" s="18" t="s">
        <v>24</v>
      </c>
      <c r="O178" s="18" t="s">
        <v>938</v>
      </c>
    </row>
    <row r="179" spans="1:15" x14ac:dyDescent="0.3">
      <c r="A179" s="18" t="s">
        <v>405</v>
      </c>
      <c r="B179" s="18" t="s">
        <v>186</v>
      </c>
      <c r="C179" s="18" t="s">
        <v>1030</v>
      </c>
      <c r="D179" s="18" t="s">
        <v>1142</v>
      </c>
      <c r="E179" s="18" t="s">
        <v>68</v>
      </c>
      <c r="F179" s="18" t="s">
        <v>28</v>
      </c>
      <c r="G179" s="18" t="s">
        <v>101</v>
      </c>
      <c r="H179" s="18" t="s">
        <v>1518</v>
      </c>
      <c r="I179" s="18" t="s">
        <v>1021</v>
      </c>
      <c r="J179" s="18" t="s">
        <v>909</v>
      </c>
      <c r="K179" s="18" t="s">
        <v>31</v>
      </c>
      <c r="L179" s="18" t="s">
        <v>1519</v>
      </c>
      <c r="M179" s="18" t="s">
        <v>47</v>
      </c>
      <c r="N179" s="18" t="s">
        <v>24</v>
      </c>
      <c r="O179" s="18" t="s">
        <v>25</v>
      </c>
    </row>
    <row r="180" spans="1:15" x14ac:dyDescent="0.3">
      <c r="A180" s="18" t="s">
        <v>406</v>
      </c>
      <c r="B180" s="18" t="s">
        <v>407</v>
      </c>
      <c r="C180" s="18" t="s">
        <v>933</v>
      </c>
      <c r="D180" s="18" t="s">
        <v>17</v>
      </c>
      <c r="E180" s="18" t="s">
        <v>124</v>
      </c>
      <c r="F180" s="18" t="s">
        <v>38</v>
      </c>
      <c r="G180" s="18" t="s">
        <v>125</v>
      </c>
      <c r="H180" s="18" t="s">
        <v>1520</v>
      </c>
      <c r="I180" s="18" t="s">
        <v>1521</v>
      </c>
      <c r="J180" s="18" t="s">
        <v>80</v>
      </c>
      <c r="K180" s="18" t="s">
        <v>81</v>
      </c>
      <c r="L180" s="18" t="s">
        <v>1522</v>
      </c>
      <c r="M180" s="18" t="s">
        <v>47</v>
      </c>
      <c r="N180" s="18" t="s">
        <v>33</v>
      </c>
      <c r="O180" s="18" t="s">
        <v>93</v>
      </c>
    </row>
    <row r="181" spans="1:15" x14ac:dyDescent="0.3">
      <c r="A181" s="18" t="s">
        <v>408</v>
      </c>
      <c r="B181" s="18" t="s">
        <v>409</v>
      </c>
      <c r="C181" s="18" t="s">
        <v>1461</v>
      </c>
      <c r="D181" s="18" t="s">
        <v>920</v>
      </c>
      <c r="E181" s="18" t="s">
        <v>111</v>
      </c>
      <c r="F181" s="18" t="s">
        <v>53</v>
      </c>
      <c r="G181" s="18" t="s">
        <v>69</v>
      </c>
      <c r="H181" s="18" t="s">
        <v>1523</v>
      </c>
      <c r="I181" s="18" t="s">
        <v>1524</v>
      </c>
      <c r="J181" s="18" t="s">
        <v>70</v>
      </c>
      <c r="K181" s="18" t="s">
        <v>71</v>
      </c>
      <c r="L181" s="18" t="s">
        <v>1525</v>
      </c>
      <c r="M181" s="18" t="s">
        <v>47</v>
      </c>
      <c r="N181" s="18" t="s">
        <v>48</v>
      </c>
      <c r="O181" s="18" t="s">
        <v>93</v>
      </c>
    </row>
    <row r="182" spans="1:15" x14ac:dyDescent="0.3">
      <c r="A182" s="18" t="s">
        <v>410</v>
      </c>
      <c r="B182" s="18" t="s">
        <v>123</v>
      </c>
      <c r="C182" s="18" t="s">
        <v>1014</v>
      </c>
      <c r="D182" s="18" t="s">
        <v>1142</v>
      </c>
      <c r="E182" s="18" t="s">
        <v>64</v>
      </c>
      <c r="F182" s="18" t="s">
        <v>53</v>
      </c>
      <c r="G182" s="18" t="s">
        <v>69</v>
      </c>
      <c r="H182" s="18" t="s">
        <v>1526</v>
      </c>
      <c r="I182" s="18" t="s">
        <v>909</v>
      </c>
      <c r="J182" s="18" t="s">
        <v>107</v>
      </c>
      <c r="K182" s="18" t="s">
        <v>108</v>
      </c>
      <c r="L182" s="18" t="s">
        <v>1527</v>
      </c>
      <c r="M182" s="18" t="s">
        <v>47</v>
      </c>
      <c r="N182" s="18" t="s">
        <v>24</v>
      </c>
      <c r="O182" s="18" t="s">
        <v>41</v>
      </c>
    </row>
    <row r="183" spans="1:15" x14ac:dyDescent="0.3">
      <c r="A183" s="18" t="s">
        <v>411</v>
      </c>
      <c r="B183" s="18" t="s">
        <v>412</v>
      </c>
      <c r="C183" s="18" t="s">
        <v>1511</v>
      </c>
      <c r="D183" s="18" t="s">
        <v>17</v>
      </c>
      <c r="E183" s="18" t="s">
        <v>37</v>
      </c>
      <c r="F183" s="18" t="s">
        <v>132</v>
      </c>
      <c r="G183" s="18" t="s">
        <v>138</v>
      </c>
      <c r="H183" s="18" t="s">
        <v>909</v>
      </c>
      <c r="I183" s="18" t="s">
        <v>1528</v>
      </c>
      <c r="J183" s="18" t="s">
        <v>173</v>
      </c>
      <c r="K183" s="18" t="s">
        <v>174</v>
      </c>
      <c r="L183" s="18" t="s">
        <v>1529</v>
      </c>
      <c r="M183" s="18" t="s">
        <v>60</v>
      </c>
      <c r="N183" s="18" t="s">
        <v>61</v>
      </c>
      <c r="O183" s="18" t="s">
        <v>93</v>
      </c>
    </row>
    <row r="184" spans="1:15" x14ac:dyDescent="0.3">
      <c r="A184" s="18" t="s">
        <v>413</v>
      </c>
      <c r="B184" s="18" t="s">
        <v>240</v>
      </c>
      <c r="C184" s="18" t="s">
        <v>1267</v>
      </c>
      <c r="D184" s="18" t="s">
        <v>51</v>
      </c>
      <c r="E184" s="18" t="s">
        <v>111</v>
      </c>
      <c r="F184" s="18" t="s">
        <v>132</v>
      </c>
      <c r="G184" s="18" t="s">
        <v>1530</v>
      </c>
      <c r="H184" s="18" t="s">
        <v>909</v>
      </c>
      <c r="I184" s="18" t="s">
        <v>909</v>
      </c>
      <c r="J184" s="18" t="s">
        <v>147</v>
      </c>
      <c r="K184" s="18" t="s">
        <v>148</v>
      </c>
      <c r="L184" s="18" t="s">
        <v>1531</v>
      </c>
      <c r="M184" s="18" t="s">
        <v>32</v>
      </c>
      <c r="N184" s="18" t="s">
        <v>48</v>
      </c>
      <c r="O184" s="18" t="s">
        <v>41</v>
      </c>
    </row>
    <row r="185" spans="1:15" x14ac:dyDescent="0.3">
      <c r="A185" s="18" t="s">
        <v>414</v>
      </c>
      <c r="B185" s="18" t="s">
        <v>415</v>
      </c>
      <c r="C185" s="18" t="s">
        <v>1461</v>
      </c>
      <c r="D185" s="18" t="s">
        <v>51</v>
      </c>
      <c r="E185" s="18" t="s">
        <v>1415</v>
      </c>
      <c r="F185" s="18" t="s">
        <v>87</v>
      </c>
      <c r="G185" s="18" t="s">
        <v>88</v>
      </c>
      <c r="H185" s="18" t="s">
        <v>1532</v>
      </c>
      <c r="I185" s="18" t="s">
        <v>1533</v>
      </c>
      <c r="J185" s="18" t="s">
        <v>216</v>
      </c>
      <c r="K185" s="18" t="s">
        <v>1152</v>
      </c>
      <c r="L185" s="18" t="s">
        <v>1534</v>
      </c>
      <c r="M185" s="18" t="s">
        <v>909</v>
      </c>
      <c r="N185" s="18" t="s">
        <v>33</v>
      </c>
      <c r="O185" s="18" t="s">
        <v>93</v>
      </c>
    </row>
    <row r="186" spans="1:15" x14ac:dyDescent="0.3">
      <c r="A186" s="18" t="s">
        <v>1535</v>
      </c>
      <c r="B186" s="18" t="s">
        <v>1536</v>
      </c>
      <c r="C186" s="18" t="s">
        <v>1452</v>
      </c>
      <c r="D186" s="18" t="s">
        <v>17</v>
      </c>
      <c r="E186" s="18" t="s">
        <v>43</v>
      </c>
      <c r="F186" s="18" t="s">
        <v>38</v>
      </c>
      <c r="G186" s="18" t="s">
        <v>125</v>
      </c>
      <c r="H186" s="18" t="s">
        <v>1537</v>
      </c>
      <c r="I186" s="18" t="s">
        <v>909</v>
      </c>
      <c r="J186" s="18" t="s">
        <v>916</v>
      </c>
      <c r="K186" s="18" t="s">
        <v>39</v>
      </c>
      <c r="L186" s="18" t="s">
        <v>1538</v>
      </c>
      <c r="M186" s="18" t="s">
        <v>60</v>
      </c>
      <c r="N186" s="18" t="s">
        <v>24</v>
      </c>
      <c r="O186" s="18" t="s">
        <v>41</v>
      </c>
    </row>
    <row r="187" spans="1:15" x14ac:dyDescent="0.3">
      <c r="A187" s="18" t="s">
        <v>416</v>
      </c>
      <c r="B187" s="18" t="s">
        <v>417</v>
      </c>
      <c r="C187" s="18" t="s">
        <v>1539</v>
      </c>
      <c r="D187" s="18" t="s">
        <v>17</v>
      </c>
      <c r="E187" s="18" t="s">
        <v>64</v>
      </c>
      <c r="F187" s="18" t="s">
        <v>132</v>
      </c>
      <c r="G187" s="18" t="s">
        <v>1110</v>
      </c>
      <c r="H187" s="18" t="s">
        <v>909</v>
      </c>
      <c r="I187" s="18" t="s">
        <v>1540</v>
      </c>
      <c r="J187" s="18" t="s">
        <v>139</v>
      </c>
      <c r="K187" s="18" t="s">
        <v>140</v>
      </c>
      <c r="L187" s="18" t="s">
        <v>909</v>
      </c>
      <c r="M187" s="18" t="s">
        <v>1013</v>
      </c>
      <c r="N187" s="18" t="s">
        <v>61</v>
      </c>
      <c r="O187" s="18" t="s">
        <v>93</v>
      </c>
    </row>
    <row r="188" spans="1:15" x14ac:dyDescent="0.3">
      <c r="A188" s="18" t="s">
        <v>418</v>
      </c>
      <c r="B188" s="18" t="s">
        <v>395</v>
      </c>
      <c r="C188" s="18" t="s">
        <v>1053</v>
      </c>
      <c r="D188" s="18" t="s">
        <v>51</v>
      </c>
      <c r="E188" s="18" t="s">
        <v>43</v>
      </c>
      <c r="F188" s="18" t="s">
        <v>909</v>
      </c>
      <c r="G188" s="18" t="s">
        <v>54</v>
      </c>
      <c r="H188" s="18" t="s">
        <v>1160</v>
      </c>
      <c r="I188" s="18" t="s">
        <v>926</v>
      </c>
      <c r="J188" s="18" t="s">
        <v>200</v>
      </c>
      <c r="K188" s="18" t="s">
        <v>201</v>
      </c>
      <c r="L188" s="18" t="s">
        <v>1541</v>
      </c>
      <c r="M188" s="18" t="s">
        <v>47</v>
      </c>
      <c r="N188" s="18" t="s">
        <v>61</v>
      </c>
      <c r="O188" s="18" t="s">
        <v>938</v>
      </c>
    </row>
    <row r="189" spans="1:15" x14ac:dyDescent="0.3">
      <c r="A189" s="18" t="s">
        <v>419</v>
      </c>
      <c r="B189" s="18" t="s">
        <v>420</v>
      </c>
      <c r="C189" s="18" t="s">
        <v>1282</v>
      </c>
      <c r="D189" s="18" t="s">
        <v>51</v>
      </c>
      <c r="E189" s="18" t="s">
        <v>43</v>
      </c>
      <c r="F189" s="18" t="s">
        <v>19</v>
      </c>
      <c r="G189" s="18" t="s">
        <v>20</v>
      </c>
      <c r="H189" s="18" t="s">
        <v>1542</v>
      </c>
      <c r="I189" s="18" t="s">
        <v>1543</v>
      </c>
      <c r="J189" s="18" t="s">
        <v>180</v>
      </c>
      <c r="K189" s="18" t="s">
        <v>1544</v>
      </c>
      <c r="L189" s="18" t="s">
        <v>1545</v>
      </c>
      <c r="M189" s="18" t="s">
        <v>40</v>
      </c>
      <c r="N189" s="18" t="s">
        <v>61</v>
      </c>
      <c r="O189" s="18" t="s">
        <v>34</v>
      </c>
    </row>
    <row r="190" spans="1:15" x14ac:dyDescent="0.3">
      <c r="A190" s="18" t="s">
        <v>421</v>
      </c>
      <c r="B190" s="18" t="s">
        <v>422</v>
      </c>
      <c r="C190" s="18" t="s">
        <v>1014</v>
      </c>
      <c r="D190" s="18" t="s">
        <v>17</v>
      </c>
      <c r="E190" s="18" t="s">
        <v>64</v>
      </c>
      <c r="F190" s="18" t="s">
        <v>53</v>
      </c>
      <c r="G190" s="18" t="s">
        <v>69</v>
      </c>
      <c r="H190" s="18" t="s">
        <v>1546</v>
      </c>
      <c r="I190" s="18" t="s">
        <v>1547</v>
      </c>
      <c r="J190" s="18" t="s">
        <v>200</v>
      </c>
      <c r="K190" s="18" t="s">
        <v>201</v>
      </c>
      <c r="L190" s="18" t="s">
        <v>1548</v>
      </c>
      <c r="M190" s="18" t="s">
        <v>60</v>
      </c>
      <c r="N190" s="18" t="s">
        <v>991</v>
      </c>
      <c r="O190" s="18" t="s">
        <v>34</v>
      </c>
    </row>
    <row r="191" spans="1:15" x14ac:dyDescent="0.3">
      <c r="A191" s="18" t="s">
        <v>423</v>
      </c>
      <c r="B191" s="18" t="s">
        <v>356</v>
      </c>
      <c r="C191" s="18" t="s">
        <v>1549</v>
      </c>
      <c r="D191" s="18" t="s">
        <v>51</v>
      </c>
      <c r="E191" s="18" t="s">
        <v>68</v>
      </c>
      <c r="F191" s="18" t="s">
        <v>87</v>
      </c>
      <c r="G191" s="18" t="s">
        <v>324</v>
      </c>
      <c r="H191" s="18" t="s">
        <v>1550</v>
      </c>
      <c r="I191" s="18" t="s">
        <v>1551</v>
      </c>
      <c r="J191" s="18" t="s">
        <v>89</v>
      </c>
      <c r="K191" s="18" t="s">
        <v>909</v>
      </c>
      <c r="L191" s="18" t="s">
        <v>1552</v>
      </c>
      <c r="M191" s="18" t="s">
        <v>99</v>
      </c>
      <c r="N191" s="18" t="s">
        <v>61</v>
      </c>
      <c r="O191" s="18" t="s">
        <v>93</v>
      </c>
    </row>
    <row r="192" spans="1:15" x14ac:dyDescent="0.3">
      <c r="A192" s="18" t="s">
        <v>424</v>
      </c>
      <c r="B192" s="18" t="s">
        <v>425</v>
      </c>
      <c r="C192" s="18" t="s">
        <v>978</v>
      </c>
      <c r="D192" s="18" t="s">
        <v>51</v>
      </c>
      <c r="E192" s="18" t="s">
        <v>64</v>
      </c>
      <c r="F192" s="18" t="s">
        <v>87</v>
      </c>
      <c r="G192" s="18" t="s">
        <v>112</v>
      </c>
      <c r="H192" s="18" t="s">
        <v>1553</v>
      </c>
      <c r="I192" s="18" t="s">
        <v>1554</v>
      </c>
      <c r="J192" s="18" t="s">
        <v>89</v>
      </c>
      <c r="K192" s="18" t="s">
        <v>92</v>
      </c>
      <c r="L192" s="18" t="s">
        <v>1555</v>
      </c>
      <c r="M192" s="18" t="s">
        <v>32</v>
      </c>
      <c r="N192" s="18" t="s">
        <v>65</v>
      </c>
      <c r="O192" s="18" t="s">
        <v>34</v>
      </c>
    </row>
    <row r="193" spans="1:15" x14ac:dyDescent="0.3">
      <c r="A193" s="18" t="s">
        <v>426</v>
      </c>
      <c r="B193" s="18" t="s">
        <v>186</v>
      </c>
      <c r="C193" s="18" t="s">
        <v>1085</v>
      </c>
      <c r="D193" s="18" t="s">
        <v>17</v>
      </c>
      <c r="E193" s="18" t="s">
        <v>64</v>
      </c>
      <c r="F193" s="18" t="s">
        <v>132</v>
      </c>
      <c r="G193" s="18" t="s">
        <v>138</v>
      </c>
      <c r="H193" s="18" t="s">
        <v>1015</v>
      </c>
      <c r="I193" s="18" t="s">
        <v>1241</v>
      </c>
      <c r="J193" s="18" t="s">
        <v>909</v>
      </c>
      <c r="K193" s="18" t="s">
        <v>140</v>
      </c>
      <c r="L193" s="18" t="s">
        <v>1556</v>
      </c>
      <c r="M193" s="18" t="s">
        <v>47</v>
      </c>
      <c r="N193" s="18" t="s">
        <v>48</v>
      </c>
      <c r="O193" s="18" t="s">
        <v>34</v>
      </c>
    </row>
    <row r="194" spans="1:15" x14ac:dyDescent="0.3">
      <c r="A194" s="18" t="s">
        <v>427</v>
      </c>
      <c r="B194" s="18" t="s">
        <v>428</v>
      </c>
      <c r="C194" s="18" t="s">
        <v>919</v>
      </c>
      <c r="D194" s="18" t="s">
        <v>920</v>
      </c>
      <c r="E194" s="18" t="s">
        <v>111</v>
      </c>
      <c r="F194" s="18" t="s">
        <v>44</v>
      </c>
      <c r="G194" s="18" t="s">
        <v>45</v>
      </c>
      <c r="H194" s="18" t="s">
        <v>909</v>
      </c>
      <c r="I194" s="18" t="s">
        <v>1557</v>
      </c>
      <c r="J194" s="18" t="s">
        <v>244</v>
      </c>
      <c r="K194" s="18" t="s">
        <v>280</v>
      </c>
      <c r="L194" s="18" t="s">
        <v>1558</v>
      </c>
      <c r="M194" s="18" t="s">
        <v>72</v>
      </c>
      <c r="N194" s="18" t="s">
        <v>48</v>
      </c>
      <c r="O194" s="18" t="s">
        <v>1357</v>
      </c>
    </row>
    <row r="195" spans="1:15" x14ac:dyDescent="0.3">
      <c r="A195" s="18" t="s">
        <v>429</v>
      </c>
      <c r="B195" s="18" t="s">
        <v>430</v>
      </c>
      <c r="C195" s="18" t="s">
        <v>951</v>
      </c>
      <c r="D195" s="18" t="s">
        <v>17</v>
      </c>
      <c r="E195" s="18" t="s">
        <v>124</v>
      </c>
      <c r="F195" s="18" t="s">
        <v>934</v>
      </c>
      <c r="G195" s="18" t="s">
        <v>79</v>
      </c>
      <c r="H195" s="18" t="s">
        <v>1559</v>
      </c>
      <c r="I195" s="18" t="s">
        <v>1560</v>
      </c>
      <c r="J195" s="18" t="s">
        <v>184</v>
      </c>
      <c r="K195" s="18" t="s">
        <v>59</v>
      </c>
      <c r="L195" s="18" t="s">
        <v>1561</v>
      </c>
      <c r="M195" s="18" t="s">
        <v>23</v>
      </c>
      <c r="N195" s="18" t="s">
        <v>48</v>
      </c>
      <c r="O195" s="18" t="s">
        <v>34</v>
      </c>
    </row>
    <row r="196" spans="1:15" x14ac:dyDescent="0.3">
      <c r="A196" s="18" t="s">
        <v>431</v>
      </c>
      <c r="B196" s="18" t="s">
        <v>432</v>
      </c>
      <c r="C196" s="18" t="s">
        <v>1562</v>
      </c>
      <c r="D196" s="18" t="s">
        <v>17</v>
      </c>
      <c r="E196" s="18" t="s">
        <v>18</v>
      </c>
      <c r="F196" s="18" t="s">
        <v>1070</v>
      </c>
      <c r="G196" s="18" t="s">
        <v>223</v>
      </c>
      <c r="H196" s="18" t="s">
        <v>1563</v>
      </c>
      <c r="I196" s="18" t="s">
        <v>1564</v>
      </c>
      <c r="J196" s="18" t="s">
        <v>173</v>
      </c>
      <c r="K196" s="18" t="s">
        <v>174</v>
      </c>
      <c r="L196" s="18" t="s">
        <v>1565</v>
      </c>
      <c r="M196" s="18" t="s">
        <v>40</v>
      </c>
      <c r="N196" s="18" t="s">
        <v>24</v>
      </c>
      <c r="O196" s="18" t="s">
        <v>93</v>
      </c>
    </row>
    <row r="197" spans="1:15" x14ac:dyDescent="0.3">
      <c r="A197" s="18" t="s">
        <v>433</v>
      </c>
      <c r="B197" s="18" t="s">
        <v>434</v>
      </c>
      <c r="C197" s="18" t="s">
        <v>1210</v>
      </c>
      <c r="D197" s="18" t="s">
        <v>17</v>
      </c>
      <c r="E197" s="18" t="s">
        <v>124</v>
      </c>
      <c r="F197" s="18" t="s">
        <v>132</v>
      </c>
      <c r="G197" s="18" t="s">
        <v>138</v>
      </c>
      <c r="H197" s="18" t="s">
        <v>1566</v>
      </c>
      <c r="I197" s="18" t="s">
        <v>1567</v>
      </c>
      <c r="J197" s="18" t="s">
        <v>1568</v>
      </c>
      <c r="K197" s="18" t="s">
        <v>174</v>
      </c>
      <c r="L197" s="18" t="s">
        <v>1569</v>
      </c>
      <c r="M197" s="18" t="s">
        <v>99</v>
      </c>
      <c r="N197" s="18" t="s">
        <v>48</v>
      </c>
      <c r="O197" s="18" t="s">
        <v>93</v>
      </c>
    </row>
    <row r="198" spans="1:15" x14ac:dyDescent="0.3">
      <c r="A198" s="18" t="s">
        <v>435</v>
      </c>
      <c r="B198" s="18" t="s">
        <v>436</v>
      </c>
      <c r="C198" s="18" t="s">
        <v>1570</v>
      </c>
      <c r="D198" s="18" t="s">
        <v>17</v>
      </c>
      <c r="E198" s="18" t="s">
        <v>18</v>
      </c>
      <c r="F198" s="18" t="s">
        <v>44</v>
      </c>
      <c r="G198" s="18" t="s">
        <v>153</v>
      </c>
      <c r="H198" s="18" t="s">
        <v>1571</v>
      </c>
      <c r="I198" s="18" t="s">
        <v>1572</v>
      </c>
      <c r="J198" s="18" t="s">
        <v>232</v>
      </c>
      <c r="K198" s="18" t="s">
        <v>160</v>
      </c>
      <c r="L198" s="18" t="s">
        <v>1573</v>
      </c>
      <c r="M198" s="18" t="s">
        <v>47</v>
      </c>
      <c r="N198" s="18" t="s">
        <v>24</v>
      </c>
      <c r="O198" s="18" t="s">
        <v>93</v>
      </c>
    </row>
    <row r="199" spans="1:15" x14ac:dyDescent="0.3">
      <c r="A199" s="18" t="s">
        <v>437</v>
      </c>
      <c r="B199" s="18" t="s">
        <v>438</v>
      </c>
      <c r="C199" s="18" t="s">
        <v>1574</v>
      </c>
      <c r="D199" s="18" t="s">
        <v>1142</v>
      </c>
      <c r="E199" s="18" t="s">
        <v>52</v>
      </c>
      <c r="F199" s="18" t="s">
        <v>909</v>
      </c>
      <c r="G199" s="18" t="s">
        <v>79</v>
      </c>
      <c r="H199" s="18" t="s">
        <v>1575</v>
      </c>
      <c r="I199" s="18" t="s">
        <v>1576</v>
      </c>
      <c r="J199" s="18" t="s">
        <v>80</v>
      </c>
      <c r="K199" s="18" t="s">
        <v>909</v>
      </c>
      <c r="L199" s="18" t="s">
        <v>1577</v>
      </c>
      <c r="M199" s="18" t="s">
        <v>72</v>
      </c>
      <c r="N199" s="18" t="s">
        <v>61</v>
      </c>
      <c r="O199" s="18" t="s">
        <v>34</v>
      </c>
    </row>
    <row r="200" spans="1:15" x14ac:dyDescent="0.3">
      <c r="A200" s="18" t="s">
        <v>439</v>
      </c>
      <c r="B200" s="18" t="s">
        <v>1578</v>
      </c>
      <c r="C200" s="18" t="s">
        <v>1170</v>
      </c>
      <c r="D200" s="18" t="s">
        <v>909</v>
      </c>
      <c r="E200" s="18" t="s">
        <v>18</v>
      </c>
      <c r="F200" s="18" t="s">
        <v>1075</v>
      </c>
      <c r="G200" s="18" t="s">
        <v>29</v>
      </c>
      <c r="H200" s="18" t="s">
        <v>1579</v>
      </c>
      <c r="I200" s="18" t="s">
        <v>1580</v>
      </c>
      <c r="J200" s="18" t="s">
        <v>30</v>
      </c>
      <c r="K200" s="18" t="s">
        <v>31</v>
      </c>
      <c r="L200" s="18" t="s">
        <v>1581</v>
      </c>
      <c r="M200" s="18" t="s">
        <v>40</v>
      </c>
      <c r="N200" s="18" t="s">
        <v>1582</v>
      </c>
      <c r="O200" s="18" t="s">
        <v>1583</v>
      </c>
    </row>
    <row r="201" spans="1:15" x14ac:dyDescent="0.3">
      <c r="A201" s="18" t="s">
        <v>440</v>
      </c>
      <c r="B201" s="18" t="s">
        <v>441</v>
      </c>
      <c r="C201" s="18" t="s">
        <v>1584</v>
      </c>
      <c r="D201" s="18" t="s">
        <v>17</v>
      </c>
      <c r="E201" s="18" t="s">
        <v>68</v>
      </c>
      <c r="F201" s="18" t="s">
        <v>19</v>
      </c>
      <c r="G201" s="18" t="s">
        <v>158</v>
      </c>
      <c r="H201" s="18" t="s">
        <v>1585</v>
      </c>
      <c r="I201" s="18" t="s">
        <v>1586</v>
      </c>
      <c r="J201" s="18" t="s">
        <v>1334</v>
      </c>
      <c r="K201" s="18" t="s">
        <v>22</v>
      </c>
      <c r="L201" s="18" t="s">
        <v>1587</v>
      </c>
      <c r="M201" s="18" t="s">
        <v>1063</v>
      </c>
      <c r="N201" s="18" t="s">
        <v>33</v>
      </c>
      <c r="O201" s="18" t="s">
        <v>25</v>
      </c>
    </row>
    <row r="202" spans="1:15" x14ac:dyDescent="0.3">
      <c r="A202" s="18" t="s">
        <v>442</v>
      </c>
      <c r="B202" s="18" t="s">
        <v>150</v>
      </c>
      <c r="C202" s="18" t="s">
        <v>1115</v>
      </c>
      <c r="D202" s="18" t="s">
        <v>51</v>
      </c>
      <c r="E202" s="18" t="s">
        <v>68</v>
      </c>
      <c r="F202" s="18" t="s">
        <v>909</v>
      </c>
      <c r="G202" s="18" t="s">
        <v>45</v>
      </c>
      <c r="H202" s="18" t="s">
        <v>1308</v>
      </c>
      <c r="I202" s="18" t="s">
        <v>1184</v>
      </c>
      <c r="J202" s="18" t="s">
        <v>244</v>
      </c>
      <c r="K202" s="18" t="s">
        <v>280</v>
      </c>
      <c r="L202" s="18" t="s">
        <v>1588</v>
      </c>
      <c r="M202" s="18" t="s">
        <v>909</v>
      </c>
      <c r="N202" s="18" t="s">
        <v>24</v>
      </c>
      <c r="O202" s="18" t="s">
        <v>25</v>
      </c>
    </row>
    <row r="203" spans="1:15" x14ac:dyDescent="0.3">
      <c r="A203" s="18" t="s">
        <v>443</v>
      </c>
      <c r="B203" s="18" t="s">
        <v>444</v>
      </c>
      <c r="C203" s="18" t="s">
        <v>1589</v>
      </c>
      <c r="D203" s="18" t="s">
        <v>51</v>
      </c>
      <c r="E203" s="18" t="s">
        <v>64</v>
      </c>
      <c r="F203" s="18" t="s">
        <v>132</v>
      </c>
      <c r="G203" s="18" t="s">
        <v>138</v>
      </c>
      <c r="H203" s="18" t="s">
        <v>1590</v>
      </c>
      <c r="I203" s="18" t="s">
        <v>1591</v>
      </c>
      <c r="J203" s="18" t="s">
        <v>173</v>
      </c>
      <c r="K203" s="18" t="s">
        <v>174</v>
      </c>
      <c r="L203" s="18" t="s">
        <v>909</v>
      </c>
      <c r="M203" s="18" t="s">
        <v>909</v>
      </c>
      <c r="N203" s="18" t="s">
        <v>48</v>
      </c>
      <c r="O203" s="18" t="s">
        <v>938</v>
      </c>
    </row>
    <row r="204" spans="1:15" x14ac:dyDescent="0.3">
      <c r="A204" s="18" t="s">
        <v>445</v>
      </c>
      <c r="B204" s="18" t="s">
        <v>446</v>
      </c>
      <c r="C204" s="18" t="s">
        <v>1030</v>
      </c>
      <c r="D204" s="18" t="s">
        <v>17</v>
      </c>
      <c r="E204" s="18" t="s">
        <v>86</v>
      </c>
      <c r="F204" s="18" t="s">
        <v>28</v>
      </c>
      <c r="G204" s="18" t="s">
        <v>101</v>
      </c>
      <c r="H204" s="18" t="s">
        <v>1592</v>
      </c>
      <c r="I204" s="18" t="s">
        <v>1593</v>
      </c>
      <c r="J204" s="18" t="s">
        <v>102</v>
      </c>
      <c r="K204" s="18" t="s">
        <v>103</v>
      </c>
      <c r="L204" s="18" t="s">
        <v>1594</v>
      </c>
      <c r="M204" s="18" t="s">
        <v>47</v>
      </c>
      <c r="N204" s="18" t="s">
        <v>33</v>
      </c>
      <c r="O204" s="18" t="s">
        <v>938</v>
      </c>
    </row>
    <row r="205" spans="1:15" x14ac:dyDescent="0.3">
      <c r="A205" s="18" t="s">
        <v>447</v>
      </c>
      <c r="B205" s="18" t="s">
        <v>448</v>
      </c>
      <c r="C205" s="18" t="s">
        <v>986</v>
      </c>
      <c r="D205" s="18" t="s">
        <v>17</v>
      </c>
      <c r="E205" s="18" t="s">
        <v>37</v>
      </c>
      <c r="F205" s="18" t="s">
        <v>38</v>
      </c>
      <c r="G205" s="18" t="s">
        <v>79</v>
      </c>
      <c r="H205" s="18" t="s">
        <v>1595</v>
      </c>
      <c r="I205" s="18" t="s">
        <v>909</v>
      </c>
      <c r="J205" s="18" t="s">
        <v>184</v>
      </c>
      <c r="K205" s="18" t="s">
        <v>59</v>
      </c>
      <c r="L205" s="18" t="s">
        <v>1596</v>
      </c>
      <c r="M205" s="18" t="s">
        <v>32</v>
      </c>
      <c r="N205" s="18" t="s">
        <v>48</v>
      </c>
      <c r="O205" s="18" t="s">
        <v>1467</v>
      </c>
    </row>
    <row r="206" spans="1:15" x14ac:dyDescent="0.3">
      <c r="A206" s="18" t="s">
        <v>449</v>
      </c>
      <c r="B206" s="18" t="s">
        <v>412</v>
      </c>
      <c r="C206" s="18" t="s">
        <v>978</v>
      </c>
      <c r="D206" s="18" t="s">
        <v>17</v>
      </c>
      <c r="E206" s="18" t="s">
        <v>52</v>
      </c>
      <c r="F206" s="18" t="s">
        <v>28</v>
      </c>
      <c r="G206" s="18" t="s">
        <v>195</v>
      </c>
      <c r="H206" s="18" t="s">
        <v>1597</v>
      </c>
      <c r="I206" s="18" t="s">
        <v>1598</v>
      </c>
      <c r="J206" s="18" t="s">
        <v>30</v>
      </c>
      <c r="K206" s="18" t="s">
        <v>31</v>
      </c>
      <c r="L206" s="18" t="s">
        <v>1599</v>
      </c>
      <c r="M206" s="18" t="s">
        <v>32</v>
      </c>
      <c r="N206" s="18" t="s">
        <v>61</v>
      </c>
      <c r="O206" s="18" t="s">
        <v>938</v>
      </c>
    </row>
    <row r="207" spans="1:15" x14ac:dyDescent="0.3">
      <c r="A207" s="18" t="s">
        <v>450</v>
      </c>
      <c r="B207" s="18" t="s">
        <v>451</v>
      </c>
      <c r="C207" s="18" t="s">
        <v>968</v>
      </c>
      <c r="D207" s="18" t="s">
        <v>17</v>
      </c>
      <c r="E207" s="18" t="s">
        <v>37</v>
      </c>
      <c r="F207" s="18" t="s">
        <v>1600</v>
      </c>
      <c r="G207" s="18" t="s">
        <v>909</v>
      </c>
      <c r="H207" s="18" t="s">
        <v>1601</v>
      </c>
      <c r="I207" s="18" t="s">
        <v>909</v>
      </c>
      <c r="J207" s="18" t="s">
        <v>97</v>
      </c>
      <c r="K207" s="18" t="s">
        <v>98</v>
      </c>
      <c r="L207" s="18" t="s">
        <v>1602</v>
      </c>
      <c r="M207" s="18" t="s">
        <v>23</v>
      </c>
      <c r="N207" s="18" t="s">
        <v>65</v>
      </c>
      <c r="O207" s="18" t="s">
        <v>41</v>
      </c>
    </row>
    <row r="208" spans="1:15" x14ac:dyDescent="0.3">
      <c r="A208" s="18" t="s">
        <v>452</v>
      </c>
      <c r="B208" s="18" t="s">
        <v>453</v>
      </c>
      <c r="C208" s="18" t="s">
        <v>924</v>
      </c>
      <c r="D208" s="18" t="s">
        <v>908</v>
      </c>
      <c r="E208" s="18" t="s">
        <v>111</v>
      </c>
      <c r="F208" s="18" t="s">
        <v>87</v>
      </c>
      <c r="G208" s="18" t="s">
        <v>324</v>
      </c>
      <c r="H208" s="18" t="s">
        <v>1603</v>
      </c>
      <c r="I208" s="18" t="s">
        <v>909</v>
      </c>
      <c r="J208" s="18" t="s">
        <v>216</v>
      </c>
      <c r="K208" s="18" t="s">
        <v>1201</v>
      </c>
      <c r="L208" s="18" t="s">
        <v>1604</v>
      </c>
      <c r="M208" s="18" t="s">
        <v>32</v>
      </c>
      <c r="N208" s="18" t="s">
        <v>61</v>
      </c>
      <c r="O208" s="18" t="s">
        <v>1467</v>
      </c>
    </row>
    <row r="209" spans="1:15" x14ac:dyDescent="0.3">
      <c r="A209" s="18" t="s">
        <v>454</v>
      </c>
      <c r="B209" s="18" t="s">
        <v>909</v>
      </c>
      <c r="C209" s="18" t="s">
        <v>1310</v>
      </c>
      <c r="D209" s="18" t="s">
        <v>17</v>
      </c>
      <c r="E209" s="18" t="s">
        <v>52</v>
      </c>
      <c r="F209" s="18" t="s">
        <v>28</v>
      </c>
      <c r="G209" s="18" t="s">
        <v>29</v>
      </c>
      <c r="H209" s="18" t="s">
        <v>1605</v>
      </c>
      <c r="I209" s="18" t="s">
        <v>909</v>
      </c>
      <c r="J209" s="18" t="s">
        <v>102</v>
      </c>
      <c r="K209" s="18" t="s">
        <v>103</v>
      </c>
      <c r="L209" s="18" t="s">
        <v>1606</v>
      </c>
      <c r="M209" s="18" t="s">
        <v>23</v>
      </c>
      <c r="N209" s="18" t="s">
        <v>33</v>
      </c>
      <c r="O209" s="18" t="s">
        <v>41</v>
      </c>
    </row>
    <row r="210" spans="1:15" x14ac:dyDescent="0.3">
      <c r="A210" s="18" t="s">
        <v>455</v>
      </c>
      <c r="B210" s="18" t="s">
        <v>456</v>
      </c>
      <c r="C210" s="18" t="s">
        <v>1411</v>
      </c>
      <c r="D210" s="18" t="s">
        <v>51</v>
      </c>
      <c r="E210" s="18" t="s">
        <v>84</v>
      </c>
      <c r="F210" s="18" t="s">
        <v>28</v>
      </c>
      <c r="G210" s="18" t="s">
        <v>195</v>
      </c>
      <c r="H210" s="18" t="s">
        <v>1607</v>
      </c>
      <c r="I210" s="18" t="s">
        <v>1608</v>
      </c>
      <c r="J210" s="18" t="s">
        <v>189</v>
      </c>
      <c r="K210" s="18" t="s">
        <v>1077</v>
      </c>
      <c r="L210" s="18" t="s">
        <v>1609</v>
      </c>
      <c r="M210" s="18" t="s">
        <v>1013</v>
      </c>
      <c r="N210" s="18" t="s">
        <v>24</v>
      </c>
      <c r="O210" s="18" t="s">
        <v>1583</v>
      </c>
    </row>
    <row r="211" spans="1:15" x14ac:dyDescent="0.3">
      <c r="A211" s="18" t="s">
        <v>457</v>
      </c>
      <c r="B211" s="18" t="s">
        <v>110</v>
      </c>
      <c r="C211" s="18" t="s">
        <v>1107</v>
      </c>
      <c r="D211" s="18" t="s">
        <v>51</v>
      </c>
      <c r="E211" s="18" t="s">
        <v>86</v>
      </c>
      <c r="F211" s="18" t="s">
        <v>53</v>
      </c>
      <c r="G211" s="18" t="s">
        <v>1610</v>
      </c>
      <c r="H211" s="18" t="s">
        <v>987</v>
      </c>
      <c r="I211" s="18" t="s">
        <v>1611</v>
      </c>
      <c r="J211" s="18" t="s">
        <v>55</v>
      </c>
      <c r="K211" s="18" t="s">
        <v>56</v>
      </c>
      <c r="L211" s="18" t="s">
        <v>1612</v>
      </c>
      <c r="M211" s="18" t="s">
        <v>32</v>
      </c>
      <c r="N211" s="18" t="s">
        <v>48</v>
      </c>
      <c r="O211" s="18" t="s">
        <v>25</v>
      </c>
    </row>
    <row r="212" spans="1:15" x14ac:dyDescent="0.3">
      <c r="A212" s="18" t="s">
        <v>458</v>
      </c>
      <c r="B212" s="18" t="s">
        <v>459</v>
      </c>
      <c r="C212" s="18" t="s">
        <v>1014</v>
      </c>
      <c r="D212" s="18" t="s">
        <v>51</v>
      </c>
      <c r="E212" s="18" t="s">
        <v>37</v>
      </c>
      <c r="F212" s="18" t="s">
        <v>44</v>
      </c>
      <c r="G212" s="18" t="s">
        <v>153</v>
      </c>
      <c r="H212" s="18" t="s">
        <v>1613</v>
      </c>
      <c r="I212" s="18" t="s">
        <v>1614</v>
      </c>
      <c r="J212" s="18" t="s">
        <v>922</v>
      </c>
      <c r="K212" s="18" t="s">
        <v>46</v>
      </c>
      <c r="L212" s="18" t="s">
        <v>1615</v>
      </c>
      <c r="M212" s="18" t="s">
        <v>47</v>
      </c>
      <c r="N212" s="18" t="s">
        <v>991</v>
      </c>
      <c r="O212" s="18" t="s">
        <v>34</v>
      </c>
    </row>
    <row r="213" spans="1:15" x14ac:dyDescent="0.3">
      <c r="A213" s="18" t="s">
        <v>909</v>
      </c>
      <c r="B213" s="18" t="s">
        <v>311</v>
      </c>
      <c r="C213" s="18" t="s">
        <v>1278</v>
      </c>
      <c r="D213" s="18" t="s">
        <v>51</v>
      </c>
      <c r="E213" s="18" t="s">
        <v>68</v>
      </c>
      <c r="F213" s="18" t="s">
        <v>87</v>
      </c>
      <c r="G213" s="18" t="s">
        <v>324</v>
      </c>
      <c r="H213" s="18" t="s">
        <v>1616</v>
      </c>
      <c r="I213" s="18" t="s">
        <v>1617</v>
      </c>
      <c r="J213" s="18" t="s">
        <v>216</v>
      </c>
      <c r="K213" s="18" t="s">
        <v>1201</v>
      </c>
      <c r="L213" s="18" t="s">
        <v>1618</v>
      </c>
      <c r="M213" s="18" t="s">
        <v>1063</v>
      </c>
      <c r="N213" s="18" t="s">
        <v>61</v>
      </c>
      <c r="O213" s="18" t="s">
        <v>34</v>
      </c>
    </row>
    <row r="214" spans="1:15" x14ac:dyDescent="0.3">
      <c r="A214" s="18" t="s">
        <v>460</v>
      </c>
      <c r="B214" s="18" t="s">
        <v>50</v>
      </c>
      <c r="C214" s="18" t="s">
        <v>1254</v>
      </c>
      <c r="D214" s="18" t="s">
        <v>51</v>
      </c>
      <c r="E214" s="18" t="s">
        <v>37</v>
      </c>
      <c r="F214" s="18" t="s">
        <v>132</v>
      </c>
      <c r="G214" s="18" t="s">
        <v>133</v>
      </c>
      <c r="H214" s="18" t="s">
        <v>1098</v>
      </c>
      <c r="I214" s="18" t="s">
        <v>909</v>
      </c>
      <c r="J214" s="18" t="s">
        <v>134</v>
      </c>
      <c r="K214" s="18" t="s">
        <v>135</v>
      </c>
      <c r="L214" s="18" t="s">
        <v>1619</v>
      </c>
      <c r="M214" s="18" t="s">
        <v>47</v>
      </c>
      <c r="N214" s="18" t="s">
        <v>991</v>
      </c>
      <c r="O214" s="18" t="s">
        <v>41</v>
      </c>
    </row>
    <row r="215" spans="1:15" x14ac:dyDescent="0.3">
      <c r="A215" s="18" t="s">
        <v>461</v>
      </c>
      <c r="B215" s="18" t="s">
        <v>462</v>
      </c>
      <c r="C215" s="18" t="s">
        <v>1620</v>
      </c>
      <c r="D215" s="18" t="s">
        <v>909</v>
      </c>
      <c r="E215" s="18" t="s">
        <v>111</v>
      </c>
      <c r="F215" s="18" t="s">
        <v>53</v>
      </c>
      <c r="G215" s="18" t="s">
        <v>143</v>
      </c>
      <c r="H215" s="18" t="s">
        <v>1621</v>
      </c>
      <c r="I215" s="18" t="s">
        <v>909</v>
      </c>
      <c r="J215" s="18" t="s">
        <v>200</v>
      </c>
      <c r="K215" s="18" t="s">
        <v>201</v>
      </c>
      <c r="L215" s="18" t="s">
        <v>1622</v>
      </c>
      <c r="M215" s="18" t="s">
        <v>47</v>
      </c>
      <c r="N215" s="18" t="s">
        <v>48</v>
      </c>
      <c r="O215" s="18" t="s">
        <v>41</v>
      </c>
    </row>
    <row r="216" spans="1:15" x14ac:dyDescent="0.3">
      <c r="A216" s="18" t="s">
        <v>463</v>
      </c>
      <c r="B216" s="18" t="s">
        <v>464</v>
      </c>
      <c r="C216" s="18" t="s">
        <v>1475</v>
      </c>
      <c r="D216" s="18" t="s">
        <v>17</v>
      </c>
      <c r="E216" s="18" t="s">
        <v>84</v>
      </c>
      <c r="F216" s="18" t="s">
        <v>44</v>
      </c>
      <c r="G216" s="18" t="s">
        <v>153</v>
      </c>
      <c r="H216" s="18" t="s">
        <v>1207</v>
      </c>
      <c r="I216" s="18" t="s">
        <v>1476</v>
      </c>
      <c r="J216" s="18" t="s">
        <v>922</v>
      </c>
      <c r="K216" s="18" t="s">
        <v>46</v>
      </c>
      <c r="L216" s="18" t="s">
        <v>1623</v>
      </c>
      <c r="M216" s="18" t="s">
        <v>72</v>
      </c>
      <c r="N216" s="18" t="s">
        <v>48</v>
      </c>
      <c r="O216" s="18" t="s">
        <v>938</v>
      </c>
    </row>
    <row r="217" spans="1:15" x14ac:dyDescent="0.3">
      <c r="A217" s="18" t="s">
        <v>465</v>
      </c>
      <c r="B217" s="18" t="s">
        <v>909</v>
      </c>
      <c r="C217" s="18" t="s">
        <v>1624</v>
      </c>
      <c r="D217" s="18" t="s">
        <v>17</v>
      </c>
      <c r="E217" s="18" t="s">
        <v>64</v>
      </c>
      <c r="F217" s="18" t="s">
        <v>87</v>
      </c>
      <c r="G217" s="18" t="s">
        <v>112</v>
      </c>
      <c r="H217" s="18" t="s">
        <v>1336</v>
      </c>
      <c r="I217" s="18" t="s">
        <v>1625</v>
      </c>
      <c r="J217" s="18" t="s">
        <v>216</v>
      </c>
      <c r="K217" s="18" t="s">
        <v>1201</v>
      </c>
      <c r="L217" s="18" t="s">
        <v>1626</v>
      </c>
      <c r="M217" s="18" t="s">
        <v>99</v>
      </c>
      <c r="N217" s="18" t="s">
        <v>33</v>
      </c>
      <c r="O217" s="18" t="s">
        <v>909</v>
      </c>
    </row>
    <row r="218" spans="1:15" x14ac:dyDescent="0.3">
      <c r="A218" s="18" t="s">
        <v>466</v>
      </c>
      <c r="B218" s="18" t="s">
        <v>467</v>
      </c>
      <c r="C218" s="18" t="s">
        <v>1627</v>
      </c>
      <c r="D218" s="18" t="s">
        <v>51</v>
      </c>
      <c r="E218" s="18" t="s">
        <v>18</v>
      </c>
      <c r="F218" s="18" t="s">
        <v>28</v>
      </c>
      <c r="G218" s="18" t="s">
        <v>1628</v>
      </c>
      <c r="H218" s="18" t="s">
        <v>1629</v>
      </c>
      <c r="I218" s="18" t="s">
        <v>909</v>
      </c>
      <c r="J218" s="18" t="s">
        <v>30</v>
      </c>
      <c r="K218" s="18" t="s">
        <v>31</v>
      </c>
      <c r="L218" s="18" t="s">
        <v>1630</v>
      </c>
      <c r="M218" s="18" t="s">
        <v>23</v>
      </c>
      <c r="N218" s="18" t="s">
        <v>48</v>
      </c>
      <c r="O218" s="18" t="s">
        <v>41</v>
      </c>
    </row>
    <row r="219" spans="1:15" x14ac:dyDescent="0.3">
      <c r="A219" s="18" t="s">
        <v>468</v>
      </c>
      <c r="B219" s="18" t="s">
        <v>1631</v>
      </c>
      <c r="C219" s="18" t="s">
        <v>928</v>
      </c>
      <c r="D219" s="18" t="s">
        <v>17</v>
      </c>
      <c r="E219" s="18" t="s">
        <v>52</v>
      </c>
      <c r="F219" s="18" t="s">
        <v>53</v>
      </c>
      <c r="G219" s="18" t="s">
        <v>143</v>
      </c>
      <c r="H219" s="18" t="s">
        <v>1632</v>
      </c>
      <c r="I219" s="18" t="s">
        <v>1633</v>
      </c>
      <c r="J219" s="18" t="s">
        <v>107</v>
      </c>
      <c r="K219" s="18" t="s">
        <v>108</v>
      </c>
      <c r="L219" s="18" t="s">
        <v>1634</v>
      </c>
      <c r="M219" s="18" t="s">
        <v>47</v>
      </c>
      <c r="N219" s="18" t="s">
        <v>65</v>
      </c>
      <c r="O219" s="18" t="s">
        <v>34</v>
      </c>
    </row>
    <row r="220" spans="1:15" x14ac:dyDescent="0.3">
      <c r="A220" s="18" t="s">
        <v>469</v>
      </c>
      <c r="B220" s="18" t="s">
        <v>214</v>
      </c>
      <c r="C220" s="18" t="s">
        <v>1635</v>
      </c>
      <c r="D220" s="18" t="s">
        <v>51</v>
      </c>
      <c r="E220" s="18" t="s">
        <v>37</v>
      </c>
      <c r="F220" s="18" t="s">
        <v>19</v>
      </c>
      <c r="G220" s="18" t="s">
        <v>158</v>
      </c>
      <c r="H220" s="18" t="s">
        <v>1636</v>
      </c>
      <c r="I220" s="18" t="s">
        <v>909</v>
      </c>
      <c r="J220" s="18" t="s">
        <v>180</v>
      </c>
      <c r="K220" s="18" t="s">
        <v>181</v>
      </c>
      <c r="L220" s="18" t="s">
        <v>1637</v>
      </c>
      <c r="M220" s="18" t="s">
        <v>60</v>
      </c>
      <c r="N220" s="18" t="s">
        <v>65</v>
      </c>
      <c r="O220" s="18" t="s">
        <v>41</v>
      </c>
    </row>
    <row r="221" spans="1:15" x14ac:dyDescent="0.3">
      <c r="A221" s="18" t="s">
        <v>470</v>
      </c>
      <c r="B221" s="18" t="s">
        <v>471</v>
      </c>
      <c r="C221" s="18" t="s">
        <v>1079</v>
      </c>
      <c r="D221" s="18" t="s">
        <v>909</v>
      </c>
      <c r="E221" s="18" t="s">
        <v>43</v>
      </c>
      <c r="F221" s="18" t="s">
        <v>19</v>
      </c>
      <c r="G221" s="18" t="s">
        <v>20</v>
      </c>
      <c r="H221" s="18" t="s">
        <v>1638</v>
      </c>
      <c r="I221" s="18" t="s">
        <v>1639</v>
      </c>
      <c r="J221" s="18" t="s">
        <v>120</v>
      </c>
      <c r="K221" s="18" t="s">
        <v>121</v>
      </c>
      <c r="L221" s="18" t="s">
        <v>1640</v>
      </c>
      <c r="M221" s="18" t="s">
        <v>47</v>
      </c>
      <c r="N221" s="18" t="s">
        <v>1641</v>
      </c>
      <c r="O221" s="18" t="s">
        <v>93</v>
      </c>
    </row>
    <row r="222" spans="1:15" x14ac:dyDescent="0.3">
      <c r="A222" s="18" t="s">
        <v>472</v>
      </c>
      <c r="B222" s="18" t="s">
        <v>473</v>
      </c>
      <c r="C222" s="18" t="s">
        <v>1041</v>
      </c>
      <c r="D222" s="18" t="s">
        <v>17</v>
      </c>
      <c r="E222" s="18" t="s">
        <v>909</v>
      </c>
      <c r="F222" s="18" t="s">
        <v>53</v>
      </c>
      <c r="G222" s="18" t="s">
        <v>143</v>
      </c>
      <c r="H222" s="18" t="s">
        <v>1642</v>
      </c>
      <c r="I222" s="18" t="s">
        <v>1643</v>
      </c>
      <c r="J222" s="18" t="s">
        <v>200</v>
      </c>
      <c r="K222" s="18" t="s">
        <v>1644</v>
      </c>
      <c r="L222" s="18" t="s">
        <v>1645</v>
      </c>
      <c r="M222" s="18" t="s">
        <v>60</v>
      </c>
      <c r="N222" s="18" t="s">
        <v>33</v>
      </c>
      <c r="O222" s="18" t="s">
        <v>938</v>
      </c>
    </row>
    <row r="223" spans="1:15" x14ac:dyDescent="0.3">
      <c r="A223" s="18" t="s">
        <v>474</v>
      </c>
      <c r="B223" s="18" t="s">
        <v>1646</v>
      </c>
      <c r="C223" s="18" t="s">
        <v>1258</v>
      </c>
      <c r="D223" s="18" t="s">
        <v>17</v>
      </c>
      <c r="E223" s="18" t="s">
        <v>52</v>
      </c>
      <c r="F223" s="18" t="s">
        <v>38</v>
      </c>
      <c r="G223" s="18" t="s">
        <v>125</v>
      </c>
      <c r="H223" s="18" t="s">
        <v>1647</v>
      </c>
      <c r="I223" s="18" t="s">
        <v>1648</v>
      </c>
      <c r="J223" s="18" t="s">
        <v>97</v>
      </c>
      <c r="K223" s="18" t="s">
        <v>98</v>
      </c>
      <c r="L223" s="18" t="s">
        <v>1649</v>
      </c>
      <c r="M223" s="18" t="s">
        <v>32</v>
      </c>
      <c r="N223" s="18" t="s">
        <v>48</v>
      </c>
      <c r="O223" s="18" t="s">
        <v>93</v>
      </c>
    </row>
    <row r="224" spans="1:15" x14ac:dyDescent="0.3">
      <c r="A224" s="18" t="s">
        <v>475</v>
      </c>
      <c r="B224" s="18" t="s">
        <v>476</v>
      </c>
      <c r="C224" s="18" t="s">
        <v>1033</v>
      </c>
      <c r="D224" s="18" t="s">
        <v>51</v>
      </c>
      <c r="E224" s="18" t="s">
        <v>43</v>
      </c>
      <c r="F224" s="18" t="s">
        <v>132</v>
      </c>
      <c r="G224" s="18" t="s">
        <v>133</v>
      </c>
      <c r="H224" s="18" t="s">
        <v>1361</v>
      </c>
      <c r="I224" s="18" t="s">
        <v>909</v>
      </c>
      <c r="J224" s="18" t="s">
        <v>134</v>
      </c>
      <c r="K224" s="18" t="s">
        <v>135</v>
      </c>
      <c r="L224" s="18" t="s">
        <v>1650</v>
      </c>
      <c r="M224" s="18" t="s">
        <v>32</v>
      </c>
      <c r="N224" s="18" t="s">
        <v>909</v>
      </c>
      <c r="O224" s="18" t="s">
        <v>41</v>
      </c>
    </row>
    <row r="225" spans="1:15" x14ac:dyDescent="0.3">
      <c r="A225" s="18" t="s">
        <v>477</v>
      </c>
      <c r="B225" s="18" t="s">
        <v>478</v>
      </c>
      <c r="C225" s="18" t="s">
        <v>1033</v>
      </c>
      <c r="D225" s="18" t="s">
        <v>51</v>
      </c>
      <c r="E225" s="18" t="s">
        <v>1651</v>
      </c>
      <c r="F225" s="18" t="s">
        <v>132</v>
      </c>
      <c r="G225" s="18" t="s">
        <v>138</v>
      </c>
      <c r="H225" s="18" t="s">
        <v>1652</v>
      </c>
      <c r="I225" s="18" t="s">
        <v>1653</v>
      </c>
      <c r="J225" s="18" t="s">
        <v>139</v>
      </c>
      <c r="K225" s="18" t="s">
        <v>1654</v>
      </c>
      <c r="L225" s="18" t="s">
        <v>1655</v>
      </c>
      <c r="M225" s="18" t="s">
        <v>1063</v>
      </c>
      <c r="N225" s="18" t="s">
        <v>33</v>
      </c>
      <c r="O225" s="18" t="s">
        <v>938</v>
      </c>
    </row>
    <row r="226" spans="1:15" x14ac:dyDescent="0.3">
      <c r="A226" s="18" t="s">
        <v>479</v>
      </c>
      <c r="B226" s="18" t="s">
        <v>480</v>
      </c>
      <c r="C226" s="18" t="s">
        <v>1203</v>
      </c>
      <c r="D226" s="18" t="s">
        <v>51</v>
      </c>
      <c r="E226" s="18" t="s">
        <v>43</v>
      </c>
      <c r="F226" s="18" t="s">
        <v>38</v>
      </c>
      <c r="G226" s="18" t="s">
        <v>909</v>
      </c>
      <c r="H226" s="18" t="s">
        <v>1656</v>
      </c>
      <c r="I226" s="18" t="s">
        <v>909</v>
      </c>
      <c r="J226" s="18" t="s">
        <v>916</v>
      </c>
      <c r="K226" s="18" t="s">
        <v>39</v>
      </c>
      <c r="L226" s="18" t="s">
        <v>1657</v>
      </c>
      <c r="M226" s="18" t="s">
        <v>40</v>
      </c>
      <c r="N226" s="18" t="s">
        <v>65</v>
      </c>
      <c r="O226" s="18" t="s">
        <v>41</v>
      </c>
    </row>
    <row r="227" spans="1:15" x14ac:dyDescent="0.3">
      <c r="A227" s="18" t="s">
        <v>481</v>
      </c>
      <c r="B227" s="18" t="s">
        <v>351</v>
      </c>
      <c r="C227" s="18" t="s">
        <v>1254</v>
      </c>
      <c r="D227" s="18" t="s">
        <v>17</v>
      </c>
      <c r="E227" s="18" t="s">
        <v>1025</v>
      </c>
      <c r="F227" s="18" t="s">
        <v>38</v>
      </c>
      <c r="G227" s="18" t="s">
        <v>125</v>
      </c>
      <c r="H227" s="18" t="s">
        <v>1183</v>
      </c>
      <c r="I227" s="18" t="s">
        <v>1585</v>
      </c>
      <c r="J227" s="18" t="s">
        <v>80</v>
      </c>
      <c r="K227" s="18" t="s">
        <v>81</v>
      </c>
      <c r="L227" s="18" t="s">
        <v>1658</v>
      </c>
      <c r="M227" s="18" t="s">
        <v>60</v>
      </c>
      <c r="N227" s="18" t="s">
        <v>33</v>
      </c>
      <c r="O227" s="18" t="s">
        <v>34</v>
      </c>
    </row>
    <row r="228" spans="1:15" x14ac:dyDescent="0.3">
      <c r="A228" s="18" t="s">
        <v>482</v>
      </c>
      <c r="B228" s="18" t="s">
        <v>483</v>
      </c>
      <c r="C228" s="18" t="s">
        <v>1164</v>
      </c>
      <c r="D228" s="18" t="s">
        <v>51</v>
      </c>
      <c r="E228" s="18" t="s">
        <v>84</v>
      </c>
      <c r="F228" s="18" t="s">
        <v>38</v>
      </c>
      <c r="G228" s="18" t="s">
        <v>167</v>
      </c>
      <c r="H228" s="18" t="s">
        <v>909</v>
      </c>
      <c r="I228" s="18" t="s">
        <v>909</v>
      </c>
      <c r="J228" s="18" t="s">
        <v>1659</v>
      </c>
      <c r="K228" s="18" t="s">
        <v>59</v>
      </c>
      <c r="L228" s="18" t="s">
        <v>1660</v>
      </c>
      <c r="M228" s="18" t="s">
        <v>47</v>
      </c>
      <c r="N228" s="18" t="s">
        <v>48</v>
      </c>
      <c r="O228" s="18" t="s">
        <v>41</v>
      </c>
    </row>
    <row r="229" spans="1:15" x14ac:dyDescent="0.3">
      <c r="A229" s="18" t="s">
        <v>484</v>
      </c>
      <c r="B229" s="18" t="s">
        <v>129</v>
      </c>
      <c r="C229" s="18" t="s">
        <v>1470</v>
      </c>
      <c r="D229" s="18" t="s">
        <v>17</v>
      </c>
      <c r="E229" s="18" t="s">
        <v>52</v>
      </c>
      <c r="F229" s="18" t="s">
        <v>53</v>
      </c>
      <c r="G229" s="18" t="s">
        <v>143</v>
      </c>
      <c r="H229" s="18" t="s">
        <v>1661</v>
      </c>
      <c r="I229" s="18" t="s">
        <v>1512</v>
      </c>
      <c r="J229" s="18" t="s">
        <v>909</v>
      </c>
      <c r="K229" s="18" t="s">
        <v>108</v>
      </c>
      <c r="L229" s="18" t="s">
        <v>1662</v>
      </c>
      <c r="M229" s="18" t="s">
        <v>40</v>
      </c>
      <c r="N229" s="18" t="s">
        <v>33</v>
      </c>
      <c r="O229" s="18" t="s">
        <v>34</v>
      </c>
    </row>
    <row r="230" spans="1:15" x14ac:dyDescent="0.3">
      <c r="A230" s="18" t="s">
        <v>485</v>
      </c>
      <c r="B230" s="18" t="s">
        <v>119</v>
      </c>
      <c r="C230" s="18" t="s">
        <v>1074</v>
      </c>
      <c r="D230" s="18" t="s">
        <v>17</v>
      </c>
      <c r="E230" s="18" t="s">
        <v>64</v>
      </c>
      <c r="F230" s="18" t="s">
        <v>28</v>
      </c>
      <c r="G230" s="18" t="s">
        <v>29</v>
      </c>
      <c r="H230" s="18" t="s">
        <v>1663</v>
      </c>
      <c r="I230" s="18" t="s">
        <v>909</v>
      </c>
      <c r="J230" s="18" t="s">
        <v>30</v>
      </c>
      <c r="K230" s="18" t="s">
        <v>31</v>
      </c>
      <c r="L230" s="18" t="s">
        <v>1664</v>
      </c>
      <c r="M230" s="18" t="s">
        <v>99</v>
      </c>
      <c r="N230" s="18" t="s">
        <v>61</v>
      </c>
      <c r="O230" s="18" t="s">
        <v>909</v>
      </c>
    </row>
    <row r="231" spans="1:15" x14ac:dyDescent="0.3">
      <c r="A231" s="18" t="s">
        <v>486</v>
      </c>
      <c r="B231" s="18" t="s">
        <v>473</v>
      </c>
      <c r="C231" s="18" t="s">
        <v>1248</v>
      </c>
      <c r="D231" s="18" t="s">
        <v>17</v>
      </c>
      <c r="E231" s="18" t="s">
        <v>111</v>
      </c>
      <c r="F231" s="18" t="s">
        <v>38</v>
      </c>
      <c r="G231" s="18" t="s">
        <v>125</v>
      </c>
      <c r="H231" s="18" t="s">
        <v>1665</v>
      </c>
      <c r="I231" s="18" t="s">
        <v>909</v>
      </c>
      <c r="J231" s="18" t="s">
        <v>80</v>
      </c>
      <c r="K231" s="18" t="s">
        <v>81</v>
      </c>
      <c r="L231" s="18" t="s">
        <v>1422</v>
      </c>
      <c r="M231" s="18" t="s">
        <v>40</v>
      </c>
      <c r="N231" s="18" t="s">
        <v>33</v>
      </c>
      <c r="O231" s="18" t="s">
        <v>41</v>
      </c>
    </row>
    <row r="232" spans="1:15" x14ac:dyDescent="0.3">
      <c r="A232" s="18" t="s">
        <v>487</v>
      </c>
      <c r="B232" s="18" t="s">
        <v>488</v>
      </c>
      <c r="C232" s="18" t="s">
        <v>1666</v>
      </c>
      <c r="D232" s="18" t="s">
        <v>909</v>
      </c>
      <c r="E232" s="18" t="s">
        <v>111</v>
      </c>
      <c r="F232" s="18" t="s">
        <v>1124</v>
      </c>
      <c r="G232" s="18" t="s">
        <v>1048</v>
      </c>
      <c r="H232" s="18" t="s">
        <v>1667</v>
      </c>
      <c r="I232" s="18" t="s">
        <v>1668</v>
      </c>
      <c r="J232" s="18" t="s">
        <v>154</v>
      </c>
      <c r="K232" s="18" t="s">
        <v>155</v>
      </c>
      <c r="L232" s="18" t="s">
        <v>1669</v>
      </c>
      <c r="M232" s="18" t="s">
        <v>60</v>
      </c>
      <c r="N232" s="18" t="s">
        <v>48</v>
      </c>
      <c r="O232" s="18" t="s">
        <v>93</v>
      </c>
    </row>
    <row r="233" spans="1:15" x14ac:dyDescent="0.3">
      <c r="A233" s="18" t="s">
        <v>489</v>
      </c>
      <c r="B233" s="18" t="s">
        <v>490</v>
      </c>
      <c r="C233" s="18" t="s">
        <v>1258</v>
      </c>
      <c r="D233" s="18" t="s">
        <v>17</v>
      </c>
      <c r="E233" s="18" t="s">
        <v>52</v>
      </c>
      <c r="F233" s="18" t="s">
        <v>38</v>
      </c>
      <c r="G233" s="18" t="s">
        <v>1471</v>
      </c>
      <c r="H233" s="18" t="s">
        <v>1670</v>
      </c>
      <c r="I233" s="18" t="s">
        <v>1671</v>
      </c>
      <c r="J233" s="18" t="s">
        <v>184</v>
      </c>
      <c r="K233" s="18" t="s">
        <v>59</v>
      </c>
      <c r="L233" s="18" t="s">
        <v>909</v>
      </c>
      <c r="M233" s="18" t="s">
        <v>32</v>
      </c>
      <c r="N233" s="18" t="s">
        <v>65</v>
      </c>
      <c r="O233" s="18" t="s">
        <v>34</v>
      </c>
    </row>
    <row r="234" spans="1:15" x14ac:dyDescent="0.3">
      <c r="A234" s="18" t="s">
        <v>491</v>
      </c>
      <c r="B234" s="18" t="s">
        <v>1672</v>
      </c>
      <c r="C234" s="18" t="s">
        <v>943</v>
      </c>
      <c r="D234" s="18" t="s">
        <v>1142</v>
      </c>
      <c r="E234" s="18" t="s">
        <v>37</v>
      </c>
      <c r="F234" s="18" t="s">
        <v>53</v>
      </c>
      <c r="G234" s="18" t="s">
        <v>69</v>
      </c>
      <c r="H234" s="18" t="s">
        <v>1580</v>
      </c>
      <c r="I234" s="18" t="s">
        <v>905</v>
      </c>
      <c r="J234" s="18" t="s">
        <v>55</v>
      </c>
      <c r="K234" s="18" t="s">
        <v>56</v>
      </c>
      <c r="L234" s="18" t="s">
        <v>1673</v>
      </c>
      <c r="M234" s="18" t="s">
        <v>72</v>
      </c>
      <c r="N234" s="18" t="s">
        <v>1508</v>
      </c>
      <c r="O234" s="18" t="s">
        <v>938</v>
      </c>
    </row>
    <row r="235" spans="1:15" x14ac:dyDescent="0.3">
      <c r="A235" s="18" t="s">
        <v>492</v>
      </c>
      <c r="B235" s="18" t="s">
        <v>241</v>
      </c>
      <c r="C235" s="18" t="s">
        <v>1674</v>
      </c>
      <c r="D235" s="18" t="s">
        <v>908</v>
      </c>
      <c r="E235" s="18" t="s">
        <v>37</v>
      </c>
      <c r="F235" s="18" t="s">
        <v>44</v>
      </c>
      <c r="G235" s="18" t="s">
        <v>45</v>
      </c>
      <c r="H235" s="18" t="s">
        <v>909</v>
      </c>
      <c r="I235" s="18" t="s">
        <v>1675</v>
      </c>
      <c r="J235" s="18" t="s">
        <v>1104</v>
      </c>
      <c r="K235" s="18" t="s">
        <v>46</v>
      </c>
      <c r="L235" s="18" t="s">
        <v>1676</v>
      </c>
      <c r="M235" s="18" t="s">
        <v>909</v>
      </c>
      <c r="N235" s="18" t="s">
        <v>65</v>
      </c>
      <c r="O235" s="18" t="s">
        <v>938</v>
      </c>
    </row>
    <row r="236" spans="1:15" x14ac:dyDescent="0.3">
      <c r="A236" s="18" t="s">
        <v>493</v>
      </c>
      <c r="B236" s="18" t="s">
        <v>356</v>
      </c>
      <c r="C236" s="18" t="s">
        <v>1179</v>
      </c>
      <c r="D236" s="18" t="s">
        <v>51</v>
      </c>
      <c r="E236" s="18" t="s">
        <v>18</v>
      </c>
      <c r="F236" s="18" t="s">
        <v>53</v>
      </c>
      <c r="G236" s="18" t="s">
        <v>54</v>
      </c>
      <c r="H236" s="18" t="s">
        <v>1677</v>
      </c>
      <c r="I236" s="18" t="s">
        <v>909</v>
      </c>
      <c r="J236" s="18" t="s">
        <v>107</v>
      </c>
      <c r="K236" s="18" t="s">
        <v>108</v>
      </c>
      <c r="L236" s="18" t="s">
        <v>1678</v>
      </c>
      <c r="M236" s="18" t="s">
        <v>60</v>
      </c>
      <c r="N236" s="18" t="s">
        <v>61</v>
      </c>
      <c r="O236" s="18" t="s">
        <v>25</v>
      </c>
    </row>
    <row r="237" spans="1:15" x14ac:dyDescent="0.3">
      <c r="A237" s="18" t="s">
        <v>494</v>
      </c>
      <c r="B237" s="18" t="s">
        <v>909</v>
      </c>
      <c r="C237" s="18" t="s">
        <v>1351</v>
      </c>
      <c r="D237" s="18" t="s">
        <v>51</v>
      </c>
      <c r="E237" s="18" t="s">
        <v>84</v>
      </c>
      <c r="F237" s="18" t="s">
        <v>53</v>
      </c>
      <c r="G237" s="18" t="s">
        <v>69</v>
      </c>
      <c r="H237" s="18" t="s">
        <v>1679</v>
      </c>
      <c r="I237" s="18" t="s">
        <v>1680</v>
      </c>
      <c r="J237" s="18" t="s">
        <v>70</v>
      </c>
      <c r="K237" s="18" t="s">
        <v>71</v>
      </c>
      <c r="L237" s="18" t="s">
        <v>1681</v>
      </c>
      <c r="M237" s="18" t="s">
        <v>99</v>
      </c>
      <c r="N237" s="18" t="s">
        <v>65</v>
      </c>
      <c r="O237" s="18" t="s">
        <v>25</v>
      </c>
    </row>
    <row r="238" spans="1:15" x14ac:dyDescent="0.3">
      <c r="A238" s="18" t="s">
        <v>495</v>
      </c>
      <c r="B238" s="18" t="s">
        <v>909</v>
      </c>
      <c r="C238" s="18" t="s">
        <v>951</v>
      </c>
      <c r="D238" s="18" t="s">
        <v>17</v>
      </c>
      <c r="E238" s="18" t="s">
        <v>68</v>
      </c>
      <c r="F238" s="18" t="s">
        <v>19</v>
      </c>
      <c r="G238" s="18" t="s">
        <v>1275</v>
      </c>
      <c r="H238" s="18" t="s">
        <v>1682</v>
      </c>
      <c r="I238" s="18" t="s">
        <v>1683</v>
      </c>
      <c r="J238" s="18" t="s">
        <v>909</v>
      </c>
      <c r="K238" s="18" t="s">
        <v>181</v>
      </c>
      <c r="L238" s="18" t="s">
        <v>1684</v>
      </c>
      <c r="M238" s="18" t="s">
        <v>40</v>
      </c>
      <c r="N238" s="18" t="s">
        <v>48</v>
      </c>
      <c r="O238" s="18" t="s">
        <v>977</v>
      </c>
    </row>
    <row r="239" spans="1:15" x14ac:dyDescent="0.3">
      <c r="A239" s="18" t="s">
        <v>496</v>
      </c>
      <c r="B239" s="18" t="s">
        <v>1685</v>
      </c>
      <c r="C239" s="18" t="s">
        <v>1418</v>
      </c>
      <c r="D239" s="18" t="s">
        <v>51</v>
      </c>
      <c r="E239" s="18" t="s">
        <v>68</v>
      </c>
      <c r="F239" s="18" t="s">
        <v>909</v>
      </c>
      <c r="G239" s="18" t="s">
        <v>909</v>
      </c>
      <c r="H239" s="18" t="s">
        <v>1686</v>
      </c>
      <c r="I239" s="18" t="s">
        <v>1687</v>
      </c>
      <c r="J239" s="18" t="s">
        <v>216</v>
      </c>
      <c r="K239" s="18" t="s">
        <v>1201</v>
      </c>
      <c r="L239" s="18" t="s">
        <v>1688</v>
      </c>
      <c r="M239" s="18" t="s">
        <v>60</v>
      </c>
      <c r="N239" s="18" t="s">
        <v>33</v>
      </c>
      <c r="O239" s="18" t="s">
        <v>1689</v>
      </c>
    </row>
    <row r="240" spans="1:15" x14ac:dyDescent="0.3">
      <c r="A240" s="18" t="s">
        <v>497</v>
      </c>
      <c r="B240" s="18" t="s">
        <v>909</v>
      </c>
      <c r="C240" s="18" t="s">
        <v>1690</v>
      </c>
      <c r="D240" s="18" t="s">
        <v>51</v>
      </c>
      <c r="E240" s="18" t="s">
        <v>52</v>
      </c>
      <c r="F240" s="18" t="s">
        <v>28</v>
      </c>
      <c r="G240" s="18" t="s">
        <v>195</v>
      </c>
      <c r="H240" s="18" t="s">
        <v>1691</v>
      </c>
      <c r="I240" s="18" t="s">
        <v>1692</v>
      </c>
      <c r="J240" s="18" t="s">
        <v>189</v>
      </c>
      <c r="K240" s="18" t="s">
        <v>1077</v>
      </c>
      <c r="L240" s="18" t="s">
        <v>1693</v>
      </c>
      <c r="M240" s="18" t="s">
        <v>47</v>
      </c>
      <c r="N240" s="18" t="s">
        <v>24</v>
      </c>
      <c r="O240" s="18" t="s">
        <v>938</v>
      </c>
    </row>
    <row r="241" spans="1:15" x14ac:dyDescent="0.3">
      <c r="A241" s="18" t="s">
        <v>498</v>
      </c>
      <c r="B241" s="18" t="s">
        <v>499</v>
      </c>
      <c r="C241" s="18" t="s">
        <v>968</v>
      </c>
      <c r="D241" s="18" t="s">
        <v>17</v>
      </c>
      <c r="E241" s="18" t="s">
        <v>18</v>
      </c>
      <c r="F241" s="18" t="s">
        <v>19</v>
      </c>
      <c r="G241" s="18" t="s">
        <v>1275</v>
      </c>
      <c r="H241" s="18" t="s">
        <v>1694</v>
      </c>
      <c r="I241" s="18" t="s">
        <v>1695</v>
      </c>
      <c r="J241" s="18" t="s">
        <v>120</v>
      </c>
      <c r="K241" s="18" t="s">
        <v>121</v>
      </c>
      <c r="L241" s="18" t="s">
        <v>1696</v>
      </c>
      <c r="M241" s="18" t="s">
        <v>60</v>
      </c>
      <c r="N241" s="18" t="s">
        <v>65</v>
      </c>
      <c r="O241" s="18" t="s">
        <v>93</v>
      </c>
    </row>
    <row r="242" spans="1:15" x14ac:dyDescent="0.3">
      <c r="A242" s="18" t="s">
        <v>500</v>
      </c>
      <c r="B242" s="18" t="s">
        <v>1697</v>
      </c>
      <c r="C242" s="18" t="s">
        <v>924</v>
      </c>
      <c r="D242" s="18" t="s">
        <v>51</v>
      </c>
      <c r="E242" s="18" t="s">
        <v>111</v>
      </c>
      <c r="F242" s="18" t="s">
        <v>132</v>
      </c>
      <c r="G242" s="18" t="s">
        <v>133</v>
      </c>
      <c r="H242" s="18" t="s">
        <v>1698</v>
      </c>
      <c r="I242" s="18" t="s">
        <v>1699</v>
      </c>
      <c r="J242" s="18" t="s">
        <v>1430</v>
      </c>
      <c r="K242" s="18" t="s">
        <v>140</v>
      </c>
      <c r="L242" s="18" t="s">
        <v>1700</v>
      </c>
      <c r="M242" s="18" t="s">
        <v>32</v>
      </c>
      <c r="N242" s="18" t="s">
        <v>48</v>
      </c>
      <c r="O242" s="18" t="s">
        <v>25</v>
      </c>
    </row>
    <row r="243" spans="1:15" x14ac:dyDescent="0.3">
      <c r="A243" s="18" t="s">
        <v>501</v>
      </c>
      <c r="B243" s="18" t="s">
        <v>207</v>
      </c>
      <c r="C243" s="18" t="s">
        <v>961</v>
      </c>
      <c r="D243" s="18" t="s">
        <v>17</v>
      </c>
      <c r="E243" s="18" t="s">
        <v>18</v>
      </c>
      <c r="F243" s="18" t="s">
        <v>19</v>
      </c>
      <c r="G243" s="18" t="s">
        <v>105</v>
      </c>
      <c r="H243" s="18" t="s">
        <v>1701</v>
      </c>
      <c r="I243" s="18" t="s">
        <v>909</v>
      </c>
      <c r="J243" s="18" t="s">
        <v>180</v>
      </c>
      <c r="K243" s="18" t="s">
        <v>181</v>
      </c>
      <c r="L243" s="18" t="s">
        <v>1702</v>
      </c>
      <c r="M243" s="18" t="s">
        <v>40</v>
      </c>
      <c r="N243" s="18" t="s">
        <v>991</v>
      </c>
      <c r="O243" s="18" t="s">
        <v>41</v>
      </c>
    </row>
    <row r="244" spans="1:15" x14ac:dyDescent="0.3">
      <c r="A244" s="18" t="s">
        <v>502</v>
      </c>
      <c r="B244" s="18" t="s">
        <v>503</v>
      </c>
      <c r="C244" s="18" t="s">
        <v>1703</v>
      </c>
      <c r="D244" s="18" t="s">
        <v>51</v>
      </c>
      <c r="E244" s="18" t="s">
        <v>18</v>
      </c>
      <c r="F244" s="18" t="s">
        <v>44</v>
      </c>
      <c r="G244" s="18" t="s">
        <v>221</v>
      </c>
      <c r="H244" s="18" t="s">
        <v>1704</v>
      </c>
      <c r="I244" s="18" t="s">
        <v>909</v>
      </c>
      <c r="J244" s="18" t="s">
        <v>244</v>
      </c>
      <c r="K244" s="18" t="s">
        <v>280</v>
      </c>
      <c r="L244" s="18" t="s">
        <v>1705</v>
      </c>
      <c r="M244" s="18" t="s">
        <v>47</v>
      </c>
      <c r="N244" s="18" t="s">
        <v>33</v>
      </c>
      <c r="O244" s="18" t="s">
        <v>93</v>
      </c>
    </row>
    <row r="245" spans="1:15" x14ac:dyDescent="0.3">
      <c r="A245" s="18" t="s">
        <v>1706</v>
      </c>
      <c r="B245" s="18" t="s">
        <v>503</v>
      </c>
      <c r="C245" s="18" t="s">
        <v>1427</v>
      </c>
      <c r="D245" s="18" t="s">
        <v>51</v>
      </c>
      <c r="E245" s="18" t="s">
        <v>64</v>
      </c>
      <c r="F245" s="18" t="s">
        <v>1124</v>
      </c>
      <c r="G245" s="18" t="s">
        <v>221</v>
      </c>
      <c r="H245" s="18" t="s">
        <v>1707</v>
      </c>
      <c r="I245" s="18" t="s">
        <v>1708</v>
      </c>
      <c r="J245" s="18" t="s">
        <v>922</v>
      </c>
      <c r="K245" s="18" t="s">
        <v>46</v>
      </c>
      <c r="L245" s="18" t="s">
        <v>1709</v>
      </c>
      <c r="M245" s="18" t="s">
        <v>40</v>
      </c>
      <c r="N245" s="18" t="s">
        <v>24</v>
      </c>
      <c r="O245" s="18" t="s">
        <v>25</v>
      </c>
    </row>
    <row r="246" spans="1:15" x14ac:dyDescent="0.3">
      <c r="A246" s="18" t="s">
        <v>504</v>
      </c>
      <c r="B246" s="18" t="s">
        <v>505</v>
      </c>
      <c r="C246" s="18" t="s">
        <v>1310</v>
      </c>
      <c r="D246" s="18" t="s">
        <v>17</v>
      </c>
      <c r="E246" s="18" t="s">
        <v>124</v>
      </c>
      <c r="F246" s="18" t="s">
        <v>38</v>
      </c>
      <c r="G246" s="18" t="s">
        <v>125</v>
      </c>
      <c r="H246" s="18" t="s">
        <v>909</v>
      </c>
      <c r="I246" s="18" t="s">
        <v>1423</v>
      </c>
      <c r="J246" s="18" t="s">
        <v>916</v>
      </c>
      <c r="K246" s="18" t="s">
        <v>39</v>
      </c>
      <c r="L246" s="18" t="s">
        <v>1710</v>
      </c>
      <c r="M246" s="18" t="s">
        <v>72</v>
      </c>
      <c r="N246" s="18" t="s">
        <v>1410</v>
      </c>
      <c r="O246" s="18" t="s">
        <v>34</v>
      </c>
    </row>
    <row r="247" spans="1:15" x14ac:dyDescent="0.3">
      <c r="A247" s="18" t="s">
        <v>506</v>
      </c>
      <c r="B247" s="18" t="s">
        <v>1711</v>
      </c>
      <c r="C247" s="18" t="s">
        <v>1712</v>
      </c>
      <c r="D247" s="18" t="s">
        <v>51</v>
      </c>
      <c r="E247" s="18" t="s">
        <v>37</v>
      </c>
      <c r="F247" s="18" t="s">
        <v>87</v>
      </c>
      <c r="G247" s="18" t="s">
        <v>324</v>
      </c>
      <c r="H247" s="18" t="s">
        <v>1713</v>
      </c>
      <c r="I247" s="18" t="s">
        <v>1714</v>
      </c>
      <c r="J247" s="18" t="s">
        <v>192</v>
      </c>
      <c r="K247" s="18" t="s">
        <v>193</v>
      </c>
      <c r="L247" s="18" t="s">
        <v>1715</v>
      </c>
      <c r="M247" s="18" t="s">
        <v>32</v>
      </c>
      <c r="N247" s="18" t="s">
        <v>33</v>
      </c>
      <c r="O247" s="18" t="s">
        <v>34</v>
      </c>
    </row>
    <row r="248" spans="1:15" x14ac:dyDescent="0.3">
      <c r="A248" s="18" t="s">
        <v>507</v>
      </c>
      <c r="B248" s="18" t="s">
        <v>909</v>
      </c>
      <c r="C248" s="18" t="s">
        <v>978</v>
      </c>
      <c r="D248" s="18" t="s">
        <v>17</v>
      </c>
      <c r="E248" s="18" t="s">
        <v>18</v>
      </c>
      <c r="F248" s="18" t="s">
        <v>19</v>
      </c>
      <c r="G248" s="18" t="s">
        <v>20</v>
      </c>
      <c r="H248" s="18" t="s">
        <v>1067</v>
      </c>
      <c r="I248" s="18" t="s">
        <v>1716</v>
      </c>
      <c r="J248" s="18" t="s">
        <v>120</v>
      </c>
      <c r="K248" s="18" t="s">
        <v>121</v>
      </c>
      <c r="L248" s="18" t="s">
        <v>1717</v>
      </c>
      <c r="M248" s="18" t="s">
        <v>99</v>
      </c>
      <c r="N248" s="18" t="s">
        <v>33</v>
      </c>
      <c r="O248" s="18" t="s">
        <v>938</v>
      </c>
    </row>
    <row r="249" spans="1:15" x14ac:dyDescent="0.3">
      <c r="A249" s="18" t="s">
        <v>508</v>
      </c>
      <c r="B249" s="18" t="s">
        <v>509</v>
      </c>
      <c r="C249" s="18" t="s">
        <v>1442</v>
      </c>
      <c r="D249" s="18" t="s">
        <v>51</v>
      </c>
      <c r="E249" s="18" t="s">
        <v>68</v>
      </c>
      <c r="F249" s="18" t="s">
        <v>44</v>
      </c>
      <c r="G249" s="18" t="s">
        <v>45</v>
      </c>
      <c r="H249" s="18" t="s">
        <v>1304</v>
      </c>
      <c r="I249" s="18" t="s">
        <v>1718</v>
      </c>
      <c r="J249" s="18" t="s">
        <v>232</v>
      </c>
      <c r="K249" s="18" t="s">
        <v>160</v>
      </c>
      <c r="L249" s="18" t="s">
        <v>1719</v>
      </c>
      <c r="M249" s="18" t="s">
        <v>72</v>
      </c>
      <c r="N249" s="18" t="s">
        <v>61</v>
      </c>
      <c r="O249" s="18" t="s">
        <v>938</v>
      </c>
    </row>
    <row r="250" spans="1:15" x14ac:dyDescent="0.3">
      <c r="A250" s="18" t="s">
        <v>510</v>
      </c>
      <c r="B250" s="18" t="s">
        <v>490</v>
      </c>
      <c r="C250" s="18" t="s">
        <v>919</v>
      </c>
      <c r="D250" s="18" t="s">
        <v>17</v>
      </c>
      <c r="E250" s="18" t="s">
        <v>84</v>
      </c>
      <c r="F250" s="18" t="s">
        <v>53</v>
      </c>
      <c r="G250" s="18" t="s">
        <v>69</v>
      </c>
      <c r="H250" s="18" t="s">
        <v>1720</v>
      </c>
      <c r="I250" s="18" t="s">
        <v>909</v>
      </c>
      <c r="J250" s="18" t="s">
        <v>107</v>
      </c>
      <c r="K250" s="18" t="s">
        <v>108</v>
      </c>
      <c r="L250" s="18" t="s">
        <v>1721</v>
      </c>
      <c r="M250" s="18" t="s">
        <v>40</v>
      </c>
      <c r="N250" s="18" t="s">
        <v>24</v>
      </c>
      <c r="O250" s="18" t="s">
        <v>41</v>
      </c>
    </row>
    <row r="251" spans="1:15" x14ac:dyDescent="0.3">
      <c r="A251" s="18" t="s">
        <v>511</v>
      </c>
      <c r="B251" s="18" t="s">
        <v>512</v>
      </c>
      <c r="C251" s="18" t="s">
        <v>1722</v>
      </c>
      <c r="D251" s="18" t="s">
        <v>17</v>
      </c>
      <c r="E251" s="18" t="s">
        <v>86</v>
      </c>
      <c r="F251" s="18" t="s">
        <v>38</v>
      </c>
      <c r="G251" s="18" t="s">
        <v>125</v>
      </c>
      <c r="H251" s="18" t="s">
        <v>1723</v>
      </c>
      <c r="I251" s="18" t="s">
        <v>1724</v>
      </c>
      <c r="J251" s="18" t="s">
        <v>184</v>
      </c>
      <c r="K251" s="18" t="s">
        <v>59</v>
      </c>
      <c r="L251" s="18" t="s">
        <v>909</v>
      </c>
      <c r="M251" s="18" t="s">
        <v>40</v>
      </c>
      <c r="N251" s="18" t="s">
        <v>48</v>
      </c>
      <c r="O251" s="18" t="s">
        <v>25</v>
      </c>
    </row>
    <row r="252" spans="1:15" x14ac:dyDescent="0.3">
      <c r="A252" s="18" t="s">
        <v>513</v>
      </c>
      <c r="B252" s="18" t="s">
        <v>514</v>
      </c>
      <c r="C252" s="18" t="s">
        <v>947</v>
      </c>
      <c r="D252" s="18" t="s">
        <v>17</v>
      </c>
      <c r="E252" s="18" t="s">
        <v>111</v>
      </c>
      <c r="F252" s="18" t="s">
        <v>28</v>
      </c>
      <c r="G252" s="18" t="s">
        <v>195</v>
      </c>
      <c r="H252" s="18" t="s">
        <v>1039</v>
      </c>
      <c r="I252" s="18" t="s">
        <v>1725</v>
      </c>
      <c r="J252" s="18" t="s">
        <v>102</v>
      </c>
      <c r="K252" s="18" t="s">
        <v>103</v>
      </c>
      <c r="L252" s="18" t="s">
        <v>1726</v>
      </c>
      <c r="M252" s="18" t="s">
        <v>1063</v>
      </c>
      <c r="N252" s="18" t="s">
        <v>24</v>
      </c>
      <c r="O252" s="18" t="s">
        <v>93</v>
      </c>
    </row>
    <row r="253" spans="1:15" x14ac:dyDescent="0.3">
      <c r="A253" s="18" t="s">
        <v>515</v>
      </c>
      <c r="B253" s="18" t="s">
        <v>451</v>
      </c>
      <c r="C253" s="18" t="s">
        <v>1383</v>
      </c>
      <c r="D253" s="18" t="s">
        <v>17</v>
      </c>
      <c r="E253" s="18" t="s">
        <v>64</v>
      </c>
      <c r="F253" s="18" t="s">
        <v>53</v>
      </c>
      <c r="G253" s="18" t="s">
        <v>54</v>
      </c>
      <c r="H253" s="18" t="s">
        <v>1727</v>
      </c>
      <c r="I253" s="18" t="s">
        <v>1728</v>
      </c>
      <c r="J253" s="18" t="s">
        <v>107</v>
      </c>
      <c r="K253" s="18" t="s">
        <v>108</v>
      </c>
      <c r="L253" s="18" t="s">
        <v>1729</v>
      </c>
      <c r="M253" s="18" t="s">
        <v>32</v>
      </c>
      <c r="N253" s="18" t="s">
        <v>24</v>
      </c>
      <c r="O253" s="18" t="s">
        <v>1689</v>
      </c>
    </row>
    <row r="254" spans="1:15" x14ac:dyDescent="0.3">
      <c r="A254" s="18" t="s">
        <v>516</v>
      </c>
      <c r="B254" s="18" t="s">
        <v>1730</v>
      </c>
      <c r="C254" s="18" t="s">
        <v>1731</v>
      </c>
      <c r="D254" s="18" t="s">
        <v>51</v>
      </c>
      <c r="E254" s="18" t="s">
        <v>86</v>
      </c>
      <c r="F254" s="18" t="s">
        <v>28</v>
      </c>
      <c r="G254" s="18" t="s">
        <v>29</v>
      </c>
      <c r="H254" s="18" t="s">
        <v>1732</v>
      </c>
      <c r="I254" s="18" t="s">
        <v>1733</v>
      </c>
      <c r="J254" s="18" t="s">
        <v>102</v>
      </c>
      <c r="K254" s="18" t="s">
        <v>103</v>
      </c>
      <c r="L254" s="18" t="s">
        <v>1734</v>
      </c>
      <c r="M254" s="18" t="s">
        <v>99</v>
      </c>
      <c r="N254" s="18" t="s">
        <v>48</v>
      </c>
      <c r="O254" s="18" t="s">
        <v>938</v>
      </c>
    </row>
    <row r="255" spans="1:15" x14ac:dyDescent="0.3">
      <c r="A255" s="18" t="s">
        <v>517</v>
      </c>
      <c r="B255" s="18" t="s">
        <v>518</v>
      </c>
      <c r="C255" s="18" t="s">
        <v>1210</v>
      </c>
      <c r="D255" s="18" t="s">
        <v>1204</v>
      </c>
      <c r="E255" s="18" t="s">
        <v>111</v>
      </c>
      <c r="F255" s="18" t="s">
        <v>87</v>
      </c>
      <c r="G255" s="18" t="s">
        <v>112</v>
      </c>
      <c r="H255" s="18" t="s">
        <v>1735</v>
      </c>
      <c r="I255" s="18" t="s">
        <v>1542</v>
      </c>
      <c r="J255" s="18" t="s">
        <v>192</v>
      </c>
      <c r="K255" s="18" t="s">
        <v>193</v>
      </c>
      <c r="L255" s="18" t="s">
        <v>1736</v>
      </c>
      <c r="M255" s="18" t="s">
        <v>40</v>
      </c>
      <c r="N255" s="18" t="s">
        <v>65</v>
      </c>
      <c r="O255" s="18" t="s">
        <v>909</v>
      </c>
    </row>
    <row r="256" spans="1:15" x14ac:dyDescent="0.3">
      <c r="A256" s="18" t="s">
        <v>519</v>
      </c>
      <c r="B256" s="18" t="s">
        <v>520</v>
      </c>
      <c r="C256" s="18" t="s">
        <v>1164</v>
      </c>
      <c r="D256" s="18" t="s">
        <v>96</v>
      </c>
      <c r="E256" s="18" t="s">
        <v>86</v>
      </c>
      <c r="F256" s="18" t="s">
        <v>38</v>
      </c>
      <c r="G256" s="18" t="s">
        <v>167</v>
      </c>
      <c r="H256" s="18" t="s">
        <v>1737</v>
      </c>
      <c r="I256" s="18" t="s">
        <v>909</v>
      </c>
      <c r="J256" s="18" t="s">
        <v>1738</v>
      </c>
      <c r="K256" s="18" t="s">
        <v>909</v>
      </c>
      <c r="L256" s="18" t="s">
        <v>1739</v>
      </c>
      <c r="M256" s="18" t="s">
        <v>72</v>
      </c>
      <c r="N256" s="18" t="s">
        <v>33</v>
      </c>
      <c r="O256" s="18" t="s">
        <v>1114</v>
      </c>
    </row>
    <row r="257" spans="1:15" x14ac:dyDescent="0.3">
      <c r="A257" s="18" t="s">
        <v>521</v>
      </c>
      <c r="B257" s="18" t="s">
        <v>453</v>
      </c>
      <c r="C257" s="18" t="s">
        <v>1091</v>
      </c>
      <c r="D257" s="18" t="s">
        <v>51</v>
      </c>
      <c r="E257" s="18" t="s">
        <v>18</v>
      </c>
      <c r="F257" s="18" t="s">
        <v>132</v>
      </c>
      <c r="G257" s="18" t="s">
        <v>223</v>
      </c>
      <c r="H257" s="18" t="s">
        <v>1521</v>
      </c>
      <c r="I257" s="18" t="s">
        <v>1740</v>
      </c>
      <c r="J257" s="18" t="s">
        <v>147</v>
      </c>
      <c r="K257" s="18" t="s">
        <v>148</v>
      </c>
      <c r="L257" s="18" t="s">
        <v>1741</v>
      </c>
      <c r="M257" s="18" t="s">
        <v>99</v>
      </c>
      <c r="N257" s="18" t="s">
        <v>33</v>
      </c>
      <c r="O257" s="18" t="s">
        <v>909</v>
      </c>
    </row>
    <row r="258" spans="1:15" x14ac:dyDescent="0.3">
      <c r="A258" s="18" t="s">
        <v>522</v>
      </c>
      <c r="B258" s="18" t="s">
        <v>67</v>
      </c>
      <c r="C258" s="18" t="s">
        <v>907</v>
      </c>
      <c r="D258" s="18" t="s">
        <v>17</v>
      </c>
      <c r="E258" s="18" t="s">
        <v>37</v>
      </c>
      <c r="F258" s="18" t="s">
        <v>19</v>
      </c>
      <c r="G258" s="18" t="s">
        <v>158</v>
      </c>
      <c r="H258" s="18" t="s">
        <v>1506</v>
      </c>
      <c r="I258" s="18" t="s">
        <v>1586</v>
      </c>
      <c r="J258" s="18" t="s">
        <v>120</v>
      </c>
      <c r="K258" s="18" t="s">
        <v>1742</v>
      </c>
      <c r="L258" s="18" t="s">
        <v>1743</v>
      </c>
      <c r="M258" s="18" t="s">
        <v>23</v>
      </c>
      <c r="N258" s="18" t="s">
        <v>33</v>
      </c>
      <c r="O258" s="18" t="s">
        <v>34</v>
      </c>
    </row>
    <row r="259" spans="1:15" x14ac:dyDescent="0.3">
      <c r="A259" s="18" t="s">
        <v>523</v>
      </c>
      <c r="B259" s="18" t="s">
        <v>524</v>
      </c>
      <c r="C259" s="18" t="s">
        <v>1278</v>
      </c>
      <c r="D259" s="18" t="s">
        <v>17</v>
      </c>
      <c r="E259" s="18" t="s">
        <v>52</v>
      </c>
      <c r="F259" s="18" t="s">
        <v>28</v>
      </c>
      <c r="G259" s="18" t="s">
        <v>29</v>
      </c>
      <c r="H259" s="18" t="s">
        <v>1336</v>
      </c>
      <c r="I259" s="18" t="s">
        <v>1744</v>
      </c>
      <c r="J259" s="18" t="s">
        <v>189</v>
      </c>
      <c r="K259" s="18" t="s">
        <v>1077</v>
      </c>
      <c r="L259" s="18" t="s">
        <v>1745</v>
      </c>
      <c r="M259" s="18" t="s">
        <v>60</v>
      </c>
      <c r="N259" s="18" t="s">
        <v>33</v>
      </c>
      <c r="O259" s="18" t="s">
        <v>938</v>
      </c>
    </row>
    <row r="260" spans="1:15" x14ac:dyDescent="0.3">
      <c r="A260" s="18" t="s">
        <v>525</v>
      </c>
      <c r="B260" s="18" t="s">
        <v>388</v>
      </c>
      <c r="C260" s="18" t="s">
        <v>1164</v>
      </c>
      <c r="D260" s="18" t="s">
        <v>51</v>
      </c>
      <c r="E260" s="18" t="s">
        <v>111</v>
      </c>
      <c r="F260" s="18" t="s">
        <v>87</v>
      </c>
      <c r="G260" s="18" t="s">
        <v>88</v>
      </c>
      <c r="H260" s="18" t="s">
        <v>1746</v>
      </c>
      <c r="I260" s="18" t="s">
        <v>1526</v>
      </c>
      <c r="J260" s="18" t="s">
        <v>192</v>
      </c>
      <c r="K260" s="18" t="s">
        <v>193</v>
      </c>
      <c r="L260" s="18" t="s">
        <v>1747</v>
      </c>
      <c r="M260" s="18" t="s">
        <v>23</v>
      </c>
      <c r="N260" s="18" t="s">
        <v>33</v>
      </c>
      <c r="O260" s="18" t="s">
        <v>25</v>
      </c>
    </row>
    <row r="261" spans="1:15" x14ac:dyDescent="0.3">
      <c r="A261" s="18" t="s">
        <v>526</v>
      </c>
      <c r="B261" s="18" t="s">
        <v>1748</v>
      </c>
      <c r="C261" s="18" t="s">
        <v>1418</v>
      </c>
      <c r="D261" s="18" t="s">
        <v>17</v>
      </c>
      <c r="E261" s="18" t="s">
        <v>18</v>
      </c>
      <c r="F261" s="18" t="s">
        <v>28</v>
      </c>
      <c r="G261" s="18" t="s">
        <v>29</v>
      </c>
      <c r="H261" s="18" t="s">
        <v>1749</v>
      </c>
      <c r="I261" s="18" t="s">
        <v>1750</v>
      </c>
      <c r="J261" s="18" t="s">
        <v>30</v>
      </c>
      <c r="K261" s="18" t="s">
        <v>31</v>
      </c>
      <c r="L261" s="18" t="s">
        <v>1751</v>
      </c>
      <c r="M261" s="18" t="s">
        <v>47</v>
      </c>
      <c r="N261" s="18" t="s">
        <v>65</v>
      </c>
      <c r="O261" s="18" t="s">
        <v>34</v>
      </c>
    </row>
    <row r="262" spans="1:15" x14ac:dyDescent="0.3">
      <c r="A262" s="18" t="s">
        <v>527</v>
      </c>
      <c r="B262" s="18" t="s">
        <v>528</v>
      </c>
      <c r="C262" s="18" t="s">
        <v>956</v>
      </c>
      <c r="D262" s="18" t="s">
        <v>17</v>
      </c>
      <c r="E262" s="18" t="s">
        <v>18</v>
      </c>
      <c r="F262" s="18" t="s">
        <v>44</v>
      </c>
      <c r="G262" s="18" t="s">
        <v>1752</v>
      </c>
      <c r="H262" s="18" t="s">
        <v>1753</v>
      </c>
      <c r="I262" s="18" t="s">
        <v>1643</v>
      </c>
      <c r="J262" s="18" t="s">
        <v>1305</v>
      </c>
      <c r="K262" s="18" t="s">
        <v>280</v>
      </c>
      <c r="L262" s="18" t="s">
        <v>1754</v>
      </c>
      <c r="M262" s="18" t="s">
        <v>32</v>
      </c>
      <c r="N262" s="18" t="s">
        <v>48</v>
      </c>
      <c r="O262" s="18" t="s">
        <v>938</v>
      </c>
    </row>
    <row r="263" spans="1:15" x14ac:dyDescent="0.3">
      <c r="A263" s="18" t="s">
        <v>529</v>
      </c>
      <c r="B263" s="18" t="s">
        <v>388</v>
      </c>
      <c r="C263" s="18" t="s">
        <v>1278</v>
      </c>
      <c r="D263" s="18" t="s">
        <v>51</v>
      </c>
      <c r="E263" s="18" t="s">
        <v>18</v>
      </c>
      <c r="F263" s="18" t="s">
        <v>38</v>
      </c>
      <c r="G263" s="18" t="s">
        <v>79</v>
      </c>
      <c r="H263" s="18" t="s">
        <v>1677</v>
      </c>
      <c r="I263" s="18" t="s">
        <v>1755</v>
      </c>
      <c r="J263" s="18" t="s">
        <v>916</v>
      </c>
      <c r="K263" s="18" t="s">
        <v>39</v>
      </c>
      <c r="L263" s="18" t="s">
        <v>1756</v>
      </c>
      <c r="M263" s="18" t="s">
        <v>909</v>
      </c>
      <c r="N263" s="18" t="s">
        <v>48</v>
      </c>
      <c r="O263" s="18" t="s">
        <v>25</v>
      </c>
    </row>
    <row r="264" spans="1:15" x14ac:dyDescent="0.3">
      <c r="A264" s="18" t="s">
        <v>530</v>
      </c>
      <c r="B264" s="18" t="s">
        <v>1757</v>
      </c>
      <c r="C264" s="18" t="s">
        <v>1082</v>
      </c>
      <c r="D264" s="18" t="s">
        <v>17</v>
      </c>
      <c r="E264" s="18" t="s">
        <v>84</v>
      </c>
      <c r="F264" s="18" t="s">
        <v>53</v>
      </c>
      <c r="G264" s="18" t="s">
        <v>143</v>
      </c>
      <c r="H264" s="18" t="s">
        <v>1758</v>
      </c>
      <c r="I264" s="18" t="s">
        <v>1264</v>
      </c>
      <c r="J264" s="18" t="s">
        <v>107</v>
      </c>
      <c r="K264" s="18" t="s">
        <v>108</v>
      </c>
      <c r="L264" s="18" t="s">
        <v>1759</v>
      </c>
      <c r="M264" s="18" t="s">
        <v>23</v>
      </c>
      <c r="N264" s="18" t="s">
        <v>61</v>
      </c>
      <c r="O264" s="18" t="s">
        <v>938</v>
      </c>
    </row>
    <row r="265" spans="1:15" x14ac:dyDescent="0.3">
      <c r="A265" s="18" t="s">
        <v>1760</v>
      </c>
      <c r="B265" s="18" t="s">
        <v>307</v>
      </c>
      <c r="C265" s="18" t="s">
        <v>1047</v>
      </c>
      <c r="D265" s="18" t="s">
        <v>17</v>
      </c>
      <c r="E265" s="18" t="s">
        <v>64</v>
      </c>
      <c r="F265" s="18" t="s">
        <v>19</v>
      </c>
      <c r="G265" s="18" t="s">
        <v>20</v>
      </c>
      <c r="H265" s="18" t="s">
        <v>1761</v>
      </c>
      <c r="I265" s="18" t="s">
        <v>909</v>
      </c>
      <c r="J265" s="18" t="s">
        <v>120</v>
      </c>
      <c r="K265" s="18" t="s">
        <v>121</v>
      </c>
      <c r="L265" s="18" t="s">
        <v>1762</v>
      </c>
      <c r="M265" s="18" t="s">
        <v>909</v>
      </c>
      <c r="N265" s="18" t="s">
        <v>48</v>
      </c>
      <c r="O265" s="18" t="s">
        <v>41</v>
      </c>
    </row>
    <row r="266" spans="1:15" x14ac:dyDescent="0.3">
      <c r="A266" s="18" t="s">
        <v>531</v>
      </c>
      <c r="B266" s="18" t="s">
        <v>499</v>
      </c>
      <c r="C266" s="18" t="s">
        <v>1066</v>
      </c>
      <c r="D266" s="18" t="s">
        <v>17</v>
      </c>
      <c r="E266" s="18" t="s">
        <v>68</v>
      </c>
      <c r="F266" s="18" t="s">
        <v>44</v>
      </c>
      <c r="G266" s="18" t="s">
        <v>45</v>
      </c>
      <c r="H266" s="18" t="s">
        <v>1763</v>
      </c>
      <c r="I266" s="18" t="s">
        <v>909</v>
      </c>
      <c r="J266" s="18" t="s">
        <v>1764</v>
      </c>
      <c r="K266" s="18" t="s">
        <v>155</v>
      </c>
      <c r="L266" s="18" t="s">
        <v>909</v>
      </c>
      <c r="M266" s="18" t="s">
        <v>32</v>
      </c>
      <c r="N266" s="18" t="s">
        <v>61</v>
      </c>
      <c r="O266" s="18" t="s">
        <v>41</v>
      </c>
    </row>
    <row r="267" spans="1:15" x14ac:dyDescent="0.3">
      <c r="A267" s="18" t="s">
        <v>1765</v>
      </c>
      <c r="B267" s="18" t="s">
        <v>319</v>
      </c>
      <c r="C267" s="18" t="s">
        <v>1406</v>
      </c>
      <c r="D267" s="18" t="s">
        <v>17</v>
      </c>
      <c r="E267" s="18" t="s">
        <v>532</v>
      </c>
      <c r="F267" s="18" t="s">
        <v>87</v>
      </c>
      <c r="G267" s="18" t="s">
        <v>112</v>
      </c>
      <c r="H267" s="18" t="s">
        <v>1766</v>
      </c>
      <c r="I267" s="18" t="s">
        <v>1763</v>
      </c>
      <c r="J267" s="18" t="s">
        <v>909</v>
      </c>
      <c r="K267" s="18" t="s">
        <v>1767</v>
      </c>
      <c r="L267" s="18" t="s">
        <v>1768</v>
      </c>
      <c r="M267" s="18" t="s">
        <v>1063</v>
      </c>
      <c r="N267" s="18" t="s">
        <v>48</v>
      </c>
      <c r="O267" s="18" t="s">
        <v>34</v>
      </c>
    </row>
    <row r="268" spans="1:15" x14ac:dyDescent="0.3">
      <c r="A268" s="18" t="s">
        <v>533</v>
      </c>
      <c r="B268" s="18" t="s">
        <v>251</v>
      </c>
      <c r="C268" s="18" t="s">
        <v>1666</v>
      </c>
      <c r="D268" s="18" t="s">
        <v>51</v>
      </c>
      <c r="E268" s="18" t="s">
        <v>86</v>
      </c>
      <c r="F268" s="18" t="s">
        <v>28</v>
      </c>
      <c r="G268" s="18" t="s">
        <v>101</v>
      </c>
      <c r="H268" s="18" t="s">
        <v>1769</v>
      </c>
      <c r="I268" s="18" t="s">
        <v>1770</v>
      </c>
      <c r="J268" s="18" t="s">
        <v>102</v>
      </c>
      <c r="K268" s="18" t="s">
        <v>103</v>
      </c>
      <c r="L268" s="18" t="s">
        <v>1771</v>
      </c>
      <c r="M268" s="18" t="s">
        <v>23</v>
      </c>
      <c r="N268" s="18" t="s">
        <v>1641</v>
      </c>
      <c r="O268" s="18" t="s">
        <v>938</v>
      </c>
    </row>
    <row r="269" spans="1:15" x14ac:dyDescent="0.3">
      <c r="A269" s="18" t="s">
        <v>534</v>
      </c>
      <c r="B269" s="18" t="s">
        <v>535</v>
      </c>
      <c r="C269" s="18" t="s">
        <v>1452</v>
      </c>
      <c r="D269" s="18" t="s">
        <v>51</v>
      </c>
      <c r="E269" s="18" t="s">
        <v>37</v>
      </c>
      <c r="F269" s="18" t="s">
        <v>38</v>
      </c>
      <c r="G269" s="18" t="s">
        <v>167</v>
      </c>
      <c r="H269" s="18" t="s">
        <v>1512</v>
      </c>
      <c r="I269" s="18" t="s">
        <v>1143</v>
      </c>
      <c r="J269" s="18" t="s">
        <v>80</v>
      </c>
      <c r="K269" s="18" t="s">
        <v>81</v>
      </c>
      <c r="L269" s="18" t="s">
        <v>1772</v>
      </c>
      <c r="M269" s="18" t="s">
        <v>23</v>
      </c>
      <c r="N269" s="18" t="s">
        <v>48</v>
      </c>
      <c r="O269" s="18" t="s">
        <v>1114</v>
      </c>
    </row>
    <row r="270" spans="1:15" x14ac:dyDescent="0.3">
      <c r="A270" s="18" t="s">
        <v>536</v>
      </c>
      <c r="B270" s="18" t="s">
        <v>432</v>
      </c>
      <c r="C270" s="18" t="s">
        <v>1170</v>
      </c>
      <c r="D270" s="18" t="s">
        <v>17</v>
      </c>
      <c r="E270" s="18" t="s">
        <v>18</v>
      </c>
      <c r="F270" s="18" t="s">
        <v>19</v>
      </c>
      <c r="G270" s="18" t="s">
        <v>158</v>
      </c>
      <c r="H270" s="18" t="s">
        <v>1575</v>
      </c>
      <c r="I270" s="18" t="s">
        <v>909</v>
      </c>
      <c r="J270" s="18" t="s">
        <v>180</v>
      </c>
      <c r="K270" s="18" t="s">
        <v>181</v>
      </c>
      <c r="L270" s="18" t="s">
        <v>1773</v>
      </c>
      <c r="M270" s="18" t="s">
        <v>72</v>
      </c>
      <c r="N270" s="18" t="s">
        <v>48</v>
      </c>
      <c r="O270" s="18" t="s">
        <v>41</v>
      </c>
    </row>
    <row r="271" spans="1:15" x14ac:dyDescent="0.3">
      <c r="A271" s="18" t="s">
        <v>537</v>
      </c>
      <c r="B271" s="18" t="s">
        <v>538</v>
      </c>
      <c r="C271" s="18" t="s">
        <v>1774</v>
      </c>
      <c r="D271" s="18" t="s">
        <v>17</v>
      </c>
      <c r="E271" s="18" t="s">
        <v>1428</v>
      </c>
      <c r="F271" s="18" t="s">
        <v>132</v>
      </c>
      <c r="G271" s="18" t="s">
        <v>138</v>
      </c>
      <c r="H271" s="18" t="s">
        <v>1775</v>
      </c>
      <c r="I271" s="18" t="s">
        <v>1416</v>
      </c>
      <c r="J271" s="18" t="s">
        <v>134</v>
      </c>
      <c r="K271" s="18" t="s">
        <v>135</v>
      </c>
      <c r="L271" s="18" t="s">
        <v>1776</v>
      </c>
      <c r="M271" s="18" t="s">
        <v>23</v>
      </c>
      <c r="N271" s="18" t="s">
        <v>65</v>
      </c>
      <c r="O271" s="18" t="s">
        <v>25</v>
      </c>
    </row>
    <row r="272" spans="1:15" x14ac:dyDescent="0.3">
      <c r="A272" s="18" t="s">
        <v>539</v>
      </c>
      <c r="B272" s="18" t="s">
        <v>333</v>
      </c>
      <c r="C272" s="18" t="s">
        <v>1427</v>
      </c>
      <c r="D272" s="18" t="s">
        <v>1142</v>
      </c>
      <c r="E272" s="18" t="s">
        <v>18</v>
      </c>
      <c r="F272" s="18" t="s">
        <v>44</v>
      </c>
      <c r="G272" s="18" t="s">
        <v>45</v>
      </c>
      <c r="H272" s="18" t="s">
        <v>1777</v>
      </c>
      <c r="I272" s="18" t="s">
        <v>1778</v>
      </c>
      <c r="J272" s="18" t="s">
        <v>922</v>
      </c>
      <c r="K272" s="18" t="s">
        <v>46</v>
      </c>
      <c r="L272" s="18" t="s">
        <v>1779</v>
      </c>
      <c r="M272" s="18" t="s">
        <v>40</v>
      </c>
      <c r="N272" s="18" t="s">
        <v>61</v>
      </c>
      <c r="O272" s="18" t="s">
        <v>25</v>
      </c>
    </row>
    <row r="273" spans="1:15" x14ac:dyDescent="0.3">
      <c r="A273" s="18" t="s">
        <v>540</v>
      </c>
      <c r="B273" s="18" t="s">
        <v>305</v>
      </c>
      <c r="C273" s="18" t="s">
        <v>1164</v>
      </c>
      <c r="D273" s="18" t="s">
        <v>17</v>
      </c>
      <c r="E273" s="18" t="s">
        <v>52</v>
      </c>
      <c r="F273" s="18" t="s">
        <v>132</v>
      </c>
      <c r="G273" s="18" t="s">
        <v>133</v>
      </c>
      <c r="H273" s="18" t="s">
        <v>1393</v>
      </c>
      <c r="I273" s="18" t="s">
        <v>909</v>
      </c>
      <c r="J273" s="18" t="s">
        <v>134</v>
      </c>
      <c r="K273" s="18" t="s">
        <v>135</v>
      </c>
      <c r="L273" s="18" t="s">
        <v>1780</v>
      </c>
      <c r="M273" s="18" t="s">
        <v>47</v>
      </c>
      <c r="N273" s="18" t="s">
        <v>24</v>
      </c>
      <c r="O273" s="18" t="s">
        <v>93</v>
      </c>
    </row>
    <row r="274" spans="1:15" x14ac:dyDescent="0.3">
      <c r="A274" s="18" t="s">
        <v>541</v>
      </c>
      <c r="B274" s="18" t="s">
        <v>119</v>
      </c>
      <c r="C274" s="18" t="s">
        <v>1164</v>
      </c>
      <c r="D274" s="18" t="s">
        <v>17</v>
      </c>
      <c r="E274" s="18" t="s">
        <v>124</v>
      </c>
      <c r="F274" s="18" t="s">
        <v>53</v>
      </c>
      <c r="G274" s="18" t="s">
        <v>54</v>
      </c>
      <c r="H274" s="18" t="s">
        <v>1781</v>
      </c>
      <c r="I274" s="18" t="s">
        <v>909</v>
      </c>
      <c r="J274" s="18" t="s">
        <v>909</v>
      </c>
      <c r="K274" s="18" t="s">
        <v>108</v>
      </c>
      <c r="L274" s="18" t="s">
        <v>1782</v>
      </c>
      <c r="M274" s="18" t="s">
        <v>47</v>
      </c>
      <c r="N274" s="18" t="s">
        <v>65</v>
      </c>
      <c r="O274" s="18" t="s">
        <v>25</v>
      </c>
    </row>
    <row r="275" spans="1:15" x14ac:dyDescent="0.3">
      <c r="A275" s="18" t="s">
        <v>542</v>
      </c>
      <c r="B275" s="18" t="s">
        <v>543</v>
      </c>
      <c r="C275" s="18" t="s">
        <v>903</v>
      </c>
      <c r="D275" s="18" t="s">
        <v>17</v>
      </c>
      <c r="E275" s="18" t="s">
        <v>52</v>
      </c>
      <c r="F275" s="18" t="s">
        <v>87</v>
      </c>
      <c r="G275" s="18" t="s">
        <v>324</v>
      </c>
      <c r="H275" s="18" t="s">
        <v>1783</v>
      </c>
      <c r="I275" s="18" t="s">
        <v>1714</v>
      </c>
      <c r="J275" s="18" t="s">
        <v>89</v>
      </c>
      <c r="K275" s="18" t="s">
        <v>92</v>
      </c>
      <c r="L275" s="18" t="s">
        <v>1784</v>
      </c>
      <c r="M275" s="18" t="s">
        <v>60</v>
      </c>
      <c r="N275" s="18" t="s">
        <v>61</v>
      </c>
      <c r="O275" s="18" t="s">
        <v>34</v>
      </c>
    </row>
    <row r="276" spans="1:15" x14ac:dyDescent="0.3">
      <c r="A276" s="18" t="s">
        <v>544</v>
      </c>
      <c r="B276" s="18" t="s">
        <v>545</v>
      </c>
      <c r="C276" s="18" t="s">
        <v>1722</v>
      </c>
      <c r="D276" s="18" t="s">
        <v>51</v>
      </c>
      <c r="E276" s="18" t="s">
        <v>84</v>
      </c>
      <c r="F276" s="18" t="s">
        <v>28</v>
      </c>
      <c r="G276" s="18" t="s">
        <v>101</v>
      </c>
      <c r="H276" s="18" t="s">
        <v>1785</v>
      </c>
      <c r="I276" s="18" t="s">
        <v>1786</v>
      </c>
      <c r="J276" s="18" t="s">
        <v>75</v>
      </c>
      <c r="K276" s="18" t="s">
        <v>76</v>
      </c>
      <c r="L276" s="18" t="s">
        <v>1787</v>
      </c>
      <c r="M276" s="18" t="s">
        <v>23</v>
      </c>
      <c r="N276" s="18" t="s">
        <v>33</v>
      </c>
      <c r="O276" s="18" t="s">
        <v>938</v>
      </c>
    </row>
    <row r="277" spans="1:15" x14ac:dyDescent="0.3">
      <c r="A277" s="18" t="s">
        <v>546</v>
      </c>
      <c r="B277" s="18" t="s">
        <v>509</v>
      </c>
      <c r="C277" s="18" t="s">
        <v>1047</v>
      </c>
      <c r="D277" s="18" t="s">
        <v>51</v>
      </c>
      <c r="E277" s="18" t="s">
        <v>84</v>
      </c>
      <c r="F277" s="18" t="s">
        <v>19</v>
      </c>
      <c r="G277" s="18" t="s">
        <v>105</v>
      </c>
      <c r="H277" s="18" t="s">
        <v>1252</v>
      </c>
      <c r="I277" s="18" t="s">
        <v>1167</v>
      </c>
      <c r="J277" s="18" t="s">
        <v>180</v>
      </c>
      <c r="K277" s="18" t="s">
        <v>181</v>
      </c>
      <c r="L277" s="18" t="s">
        <v>1788</v>
      </c>
      <c r="M277" s="18" t="s">
        <v>40</v>
      </c>
      <c r="N277" s="18" t="s">
        <v>48</v>
      </c>
      <c r="O277" s="18" t="s">
        <v>93</v>
      </c>
    </row>
    <row r="278" spans="1:15" x14ac:dyDescent="0.3">
      <c r="A278" s="18" t="s">
        <v>547</v>
      </c>
      <c r="B278" s="18" t="s">
        <v>379</v>
      </c>
      <c r="C278" s="18" t="s">
        <v>1624</v>
      </c>
      <c r="D278" s="18" t="s">
        <v>51</v>
      </c>
      <c r="E278" s="18" t="s">
        <v>18</v>
      </c>
      <c r="F278" s="18" t="s">
        <v>19</v>
      </c>
      <c r="G278" s="18" t="s">
        <v>909</v>
      </c>
      <c r="H278" s="18" t="s">
        <v>1789</v>
      </c>
      <c r="I278" s="18" t="s">
        <v>1790</v>
      </c>
      <c r="J278" s="18" t="s">
        <v>909</v>
      </c>
      <c r="K278" s="18" t="s">
        <v>181</v>
      </c>
      <c r="L278" s="18" t="s">
        <v>1791</v>
      </c>
      <c r="M278" s="18" t="s">
        <v>99</v>
      </c>
      <c r="N278" s="18" t="s">
        <v>33</v>
      </c>
      <c r="O278" s="18" t="s">
        <v>25</v>
      </c>
    </row>
    <row r="279" spans="1:15" x14ac:dyDescent="0.3">
      <c r="A279" s="18" t="s">
        <v>548</v>
      </c>
      <c r="B279" s="18" t="s">
        <v>549</v>
      </c>
      <c r="C279" s="18" t="s">
        <v>1731</v>
      </c>
      <c r="D279" s="18" t="s">
        <v>908</v>
      </c>
      <c r="E279" s="18" t="s">
        <v>86</v>
      </c>
      <c r="F279" s="18" t="s">
        <v>44</v>
      </c>
      <c r="G279" s="18" t="s">
        <v>221</v>
      </c>
      <c r="H279" s="18" t="s">
        <v>1361</v>
      </c>
      <c r="I279" s="18" t="s">
        <v>1792</v>
      </c>
      <c r="J279" s="18" t="s">
        <v>232</v>
      </c>
      <c r="K279" s="18" t="s">
        <v>160</v>
      </c>
      <c r="L279" s="18" t="s">
        <v>1793</v>
      </c>
      <c r="M279" s="18" t="s">
        <v>60</v>
      </c>
      <c r="N279" s="18" t="s">
        <v>61</v>
      </c>
      <c r="O279" s="18" t="s">
        <v>938</v>
      </c>
    </row>
    <row r="280" spans="1:15" x14ac:dyDescent="0.3">
      <c r="A280" s="18" t="s">
        <v>550</v>
      </c>
      <c r="B280" s="18" t="s">
        <v>95</v>
      </c>
      <c r="C280" s="18" t="s">
        <v>1674</v>
      </c>
      <c r="D280" s="18" t="s">
        <v>17</v>
      </c>
      <c r="E280" s="18" t="s">
        <v>37</v>
      </c>
      <c r="F280" s="18" t="s">
        <v>19</v>
      </c>
      <c r="G280" s="18" t="s">
        <v>20</v>
      </c>
      <c r="H280" s="18" t="s">
        <v>1318</v>
      </c>
      <c r="I280" s="18" t="s">
        <v>1616</v>
      </c>
      <c r="J280" s="18" t="s">
        <v>120</v>
      </c>
      <c r="K280" s="18" t="s">
        <v>121</v>
      </c>
      <c r="L280" s="18" t="s">
        <v>1794</v>
      </c>
      <c r="M280" s="18" t="s">
        <v>23</v>
      </c>
      <c r="N280" s="18" t="s">
        <v>48</v>
      </c>
      <c r="O280" s="18" t="s">
        <v>938</v>
      </c>
    </row>
    <row r="281" spans="1:15" x14ac:dyDescent="0.3">
      <c r="A281" s="18" t="s">
        <v>551</v>
      </c>
      <c r="B281" s="18" t="s">
        <v>552</v>
      </c>
      <c r="C281" s="18" t="s">
        <v>1282</v>
      </c>
      <c r="D281" s="18" t="s">
        <v>1142</v>
      </c>
      <c r="E281" s="18" t="s">
        <v>84</v>
      </c>
      <c r="F281" s="18" t="s">
        <v>132</v>
      </c>
      <c r="G281" s="18" t="s">
        <v>133</v>
      </c>
      <c r="H281" s="18" t="s">
        <v>1226</v>
      </c>
      <c r="I281" s="18" t="s">
        <v>1795</v>
      </c>
      <c r="J281" s="18" t="s">
        <v>173</v>
      </c>
      <c r="K281" s="18" t="s">
        <v>174</v>
      </c>
      <c r="L281" s="18" t="s">
        <v>1796</v>
      </c>
      <c r="M281" s="18" t="s">
        <v>23</v>
      </c>
      <c r="N281" s="18" t="s">
        <v>65</v>
      </c>
      <c r="O281" s="18" t="s">
        <v>1045</v>
      </c>
    </row>
    <row r="282" spans="1:15" x14ac:dyDescent="0.3">
      <c r="A282" s="18" t="s">
        <v>553</v>
      </c>
      <c r="B282" s="18" t="s">
        <v>412</v>
      </c>
      <c r="C282" s="18" t="s">
        <v>1388</v>
      </c>
      <c r="D282" s="18" t="s">
        <v>17</v>
      </c>
      <c r="E282" s="18" t="s">
        <v>37</v>
      </c>
      <c r="F282" s="18" t="s">
        <v>19</v>
      </c>
      <c r="G282" s="18" t="s">
        <v>105</v>
      </c>
      <c r="H282" s="18" t="s">
        <v>1797</v>
      </c>
      <c r="I282" s="18" t="s">
        <v>1567</v>
      </c>
      <c r="J282" s="18" t="s">
        <v>267</v>
      </c>
      <c r="K282" s="18" t="s">
        <v>268</v>
      </c>
      <c r="L282" s="18" t="s">
        <v>1798</v>
      </c>
      <c r="M282" s="18" t="s">
        <v>60</v>
      </c>
      <c r="N282" s="18" t="s">
        <v>33</v>
      </c>
      <c r="O282" s="18" t="s">
        <v>93</v>
      </c>
    </row>
    <row r="283" spans="1:15" x14ac:dyDescent="0.3">
      <c r="A283" s="18" t="s">
        <v>554</v>
      </c>
      <c r="B283" s="18" t="s">
        <v>384</v>
      </c>
      <c r="C283" s="18" t="s">
        <v>919</v>
      </c>
      <c r="D283" s="18" t="s">
        <v>51</v>
      </c>
      <c r="E283" s="18" t="s">
        <v>68</v>
      </c>
      <c r="F283" s="18" t="s">
        <v>19</v>
      </c>
      <c r="G283" s="18" t="s">
        <v>105</v>
      </c>
      <c r="H283" s="18" t="s">
        <v>1139</v>
      </c>
      <c r="I283" s="18" t="s">
        <v>936</v>
      </c>
      <c r="J283" s="18" t="s">
        <v>909</v>
      </c>
      <c r="K283" s="18" t="s">
        <v>181</v>
      </c>
      <c r="L283" s="18" t="s">
        <v>1799</v>
      </c>
      <c r="M283" s="18" t="s">
        <v>60</v>
      </c>
      <c r="N283" s="18" t="s">
        <v>61</v>
      </c>
      <c r="O283" s="18" t="s">
        <v>34</v>
      </c>
    </row>
    <row r="284" spans="1:15" x14ac:dyDescent="0.3">
      <c r="A284" s="18" t="s">
        <v>555</v>
      </c>
      <c r="B284" s="18" t="s">
        <v>1800</v>
      </c>
      <c r="C284" s="18" t="s">
        <v>1258</v>
      </c>
      <c r="D284" s="18" t="s">
        <v>51</v>
      </c>
      <c r="E284" s="18" t="s">
        <v>909</v>
      </c>
      <c r="F284" s="18" t="s">
        <v>38</v>
      </c>
      <c r="G284" s="18" t="s">
        <v>79</v>
      </c>
      <c r="H284" s="18" t="s">
        <v>1801</v>
      </c>
      <c r="I284" s="18" t="s">
        <v>1802</v>
      </c>
      <c r="J284" s="18" t="s">
        <v>916</v>
      </c>
      <c r="K284" s="18" t="s">
        <v>39</v>
      </c>
      <c r="L284" s="18" t="s">
        <v>1803</v>
      </c>
      <c r="M284" s="18" t="s">
        <v>32</v>
      </c>
      <c r="N284" s="18" t="s">
        <v>65</v>
      </c>
      <c r="O284" s="18" t="s">
        <v>34</v>
      </c>
    </row>
    <row r="285" spans="1:15" x14ac:dyDescent="0.3">
      <c r="A285" s="18" t="s">
        <v>556</v>
      </c>
      <c r="B285" s="18" t="s">
        <v>1804</v>
      </c>
      <c r="C285" s="18" t="s">
        <v>1033</v>
      </c>
      <c r="D285" s="18" t="s">
        <v>920</v>
      </c>
      <c r="E285" s="18" t="s">
        <v>84</v>
      </c>
      <c r="F285" s="18" t="s">
        <v>38</v>
      </c>
      <c r="G285" s="18" t="s">
        <v>167</v>
      </c>
      <c r="H285" s="18" t="s">
        <v>1805</v>
      </c>
      <c r="I285" s="18" t="s">
        <v>1806</v>
      </c>
      <c r="J285" s="18" t="s">
        <v>80</v>
      </c>
      <c r="K285" s="18" t="s">
        <v>81</v>
      </c>
      <c r="L285" s="18" t="s">
        <v>1807</v>
      </c>
      <c r="M285" s="18" t="s">
        <v>40</v>
      </c>
      <c r="N285" s="18" t="s">
        <v>33</v>
      </c>
      <c r="O285" s="18" t="s">
        <v>93</v>
      </c>
    </row>
    <row r="286" spans="1:15" x14ac:dyDescent="0.3">
      <c r="A286" s="18" t="s">
        <v>557</v>
      </c>
      <c r="B286" s="18" t="s">
        <v>313</v>
      </c>
      <c r="C286" s="18" t="s">
        <v>1091</v>
      </c>
      <c r="D286" s="18" t="s">
        <v>96</v>
      </c>
      <c r="E286" s="18" t="s">
        <v>64</v>
      </c>
      <c r="F286" s="18" t="s">
        <v>44</v>
      </c>
      <c r="G286" s="18" t="s">
        <v>45</v>
      </c>
      <c r="H286" s="18" t="s">
        <v>1031</v>
      </c>
      <c r="I286" s="18" t="s">
        <v>1808</v>
      </c>
      <c r="J286" s="18" t="s">
        <v>232</v>
      </c>
      <c r="K286" s="18" t="s">
        <v>160</v>
      </c>
      <c r="L286" s="18" t="s">
        <v>909</v>
      </c>
      <c r="M286" s="18" t="s">
        <v>72</v>
      </c>
      <c r="N286" s="18" t="s">
        <v>65</v>
      </c>
      <c r="O286" s="18" t="s">
        <v>93</v>
      </c>
    </row>
    <row r="287" spans="1:15" x14ac:dyDescent="0.3">
      <c r="A287" s="18" t="s">
        <v>558</v>
      </c>
      <c r="B287" s="18" t="s">
        <v>909</v>
      </c>
      <c r="C287" s="18" t="s">
        <v>1809</v>
      </c>
      <c r="D287" s="18" t="s">
        <v>51</v>
      </c>
      <c r="E287" s="18" t="s">
        <v>86</v>
      </c>
      <c r="F287" s="18" t="s">
        <v>87</v>
      </c>
      <c r="G287" s="18" t="s">
        <v>1810</v>
      </c>
      <c r="H287" s="18" t="s">
        <v>1811</v>
      </c>
      <c r="I287" s="18" t="s">
        <v>909</v>
      </c>
      <c r="J287" s="18" t="s">
        <v>192</v>
      </c>
      <c r="K287" s="18" t="s">
        <v>193</v>
      </c>
      <c r="L287" s="18" t="s">
        <v>1812</v>
      </c>
      <c r="M287" s="18" t="s">
        <v>60</v>
      </c>
      <c r="N287" s="18" t="s">
        <v>24</v>
      </c>
      <c r="O287" s="18" t="s">
        <v>41</v>
      </c>
    </row>
    <row r="288" spans="1:15" x14ac:dyDescent="0.3">
      <c r="A288" s="18" t="s">
        <v>559</v>
      </c>
      <c r="B288" s="18" t="s">
        <v>58</v>
      </c>
      <c r="C288" s="18" t="s">
        <v>947</v>
      </c>
      <c r="D288" s="18" t="s">
        <v>51</v>
      </c>
      <c r="E288" s="18" t="s">
        <v>64</v>
      </c>
      <c r="F288" s="18" t="s">
        <v>132</v>
      </c>
      <c r="G288" s="18" t="s">
        <v>223</v>
      </c>
      <c r="H288" s="18" t="s">
        <v>1061</v>
      </c>
      <c r="I288" s="18" t="s">
        <v>909</v>
      </c>
      <c r="J288" s="18" t="s">
        <v>173</v>
      </c>
      <c r="K288" s="18" t="s">
        <v>174</v>
      </c>
      <c r="L288" s="18" t="s">
        <v>1813</v>
      </c>
      <c r="M288" s="18" t="s">
        <v>60</v>
      </c>
      <c r="N288" s="18" t="s">
        <v>61</v>
      </c>
      <c r="O288" s="18" t="s">
        <v>41</v>
      </c>
    </row>
    <row r="289" spans="1:15" x14ac:dyDescent="0.3">
      <c r="A289" s="18" t="s">
        <v>560</v>
      </c>
      <c r="B289" s="18" t="s">
        <v>561</v>
      </c>
      <c r="C289" s="18" t="s">
        <v>1030</v>
      </c>
      <c r="D289" s="18" t="s">
        <v>17</v>
      </c>
      <c r="E289" s="18" t="s">
        <v>52</v>
      </c>
      <c r="F289" s="18" t="s">
        <v>28</v>
      </c>
      <c r="G289" s="18" t="s">
        <v>1628</v>
      </c>
      <c r="H289" s="18" t="s">
        <v>1593</v>
      </c>
      <c r="I289" s="18" t="s">
        <v>1814</v>
      </c>
      <c r="J289" s="18" t="s">
        <v>189</v>
      </c>
      <c r="K289" s="18" t="s">
        <v>1077</v>
      </c>
      <c r="L289" s="18" t="s">
        <v>1815</v>
      </c>
      <c r="M289" s="18" t="s">
        <v>32</v>
      </c>
      <c r="N289" s="18" t="s">
        <v>24</v>
      </c>
      <c r="O289" s="18" t="s">
        <v>909</v>
      </c>
    </row>
    <row r="290" spans="1:15" x14ac:dyDescent="0.3">
      <c r="A290" s="18" t="s">
        <v>562</v>
      </c>
      <c r="B290" s="18" t="s">
        <v>1816</v>
      </c>
      <c r="C290" s="18" t="s">
        <v>1033</v>
      </c>
      <c r="D290" s="18" t="s">
        <v>51</v>
      </c>
      <c r="E290" s="18" t="s">
        <v>68</v>
      </c>
      <c r="F290" s="18" t="s">
        <v>909</v>
      </c>
      <c r="G290" s="18" t="s">
        <v>29</v>
      </c>
      <c r="H290" s="18" t="s">
        <v>1817</v>
      </c>
      <c r="I290" s="18" t="s">
        <v>909</v>
      </c>
      <c r="J290" s="18" t="s">
        <v>75</v>
      </c>
      <c r="K290" s="18" t="s">
        <v>76</v>
      </c>
      <c r="L290" s="18" t="s">
        <v>1818</v>
      </c>
      <c r="M290" s="18" t="s">
        <v>32</v>
      </c>
      <c r="N290" s="18" t="s">
        <v>48</v>
      </c>
      <c r="O290" s="18" t="s">
        <v>41</v>
      </c>
    </row>
    <row r="291" spans="1:15" x14ac:dyDescent="0.3">
      <c r="A291" s="18" t="s">
        <v>563</v>
      </c>
      <c r="B291" s="18" t="s">
        <v>564</v>
      </c>
      <c r="C291" s="18" t="s">
        <v>1388</v>
      </c>
      <c r="D291" s="18" t="s">
        <v>17</v>
      </c>
      <c r="E291" s="18" t="s">
        <v>64</v>
      </c>
      <c r="F291" s="18" t="s">
        <v>132</v>
      </c>
      <c r="G291" s="18" t="s">
        <v>223</v>
      </c>
      <c r="H291" s="18" t="s">
        <v>1819</v>
      </c>
      <c r="I291" s="18" t="s">
        <v>1820</v>
      </c>
      <c r="J291" s="18" t="s">
        <v>173</v>
      </c>
      <c r="K291" s="18" t="s">
        <v>174</v>
      </c>
      <c r="L291" s="18" t="s">
        <v>1821</v>
      </c>
      <c r="M291" s="18" t="s">
        <v>47</v>
      </c>
      <c r="N291" s="18" t="s">
        <v>65</v>
      </c>
      <c r="O291" s="18" t="s">
        <v>25</v>
      </c>
    </row>
    <row r="292" spans="1:15" x14ac:dyDescent="0.3">
      <c r="A292" s="18" t="s">
        <v>565</v>
      </c>
      <c r="B292" s="18" t="s">
        <v>505</v>
      </c>
      <c r="C292" s="18" t="s">
        <v>1254</v>
      </c>
      <c r="D292" s="18" t="s">
        <v>17</v>
      </c>
      <c r="E292" s="18" t="s">
        <v>64</v>
      </c>
      <c r="F292" s="18" t="s">
        <v>19</v>
      </c>
      <c r="G292" s="18" t="s">
        <v>158</v>
      </c>
      <c r="H292" s="18" t="s">
        <v>1822</v>
      </c>
      <c r="I292" s="18" t="s">
        <v>1823</v>
      </c>
      <c r="J292" s="18" t="s">
        <v>267</v>
      </c>
      <c r="K292" s="18" t="s">
        <v>268</v>
      </c>
      <c r="L292" s="18" t="s">
        <v>1824</v>
      </c>
      <c r="M292" s="18" t="s">
        <v>1013</v>
      </c>
      <c r="N292" s="18" t="s">
        <v>991</v>
      </c>
      <c r="O292" s="18" t="s">
        <v>938</v>
      </c>
    </row>
    <row r="293" spans="1:15" x14ac:dyDescent="0.3">
      <c r="A293" s="18" t="s">
        <v>566</v>
      </c>
      <c r="B293" s="18" t="s">
        <v>567</v>
      </c>
      <c r="C293" s="18" t="s">
        <v>1388</v>
      </c>
      <c r="D293" s="18" t="s">
        <v>51</v>
      </c>
      <c r="E293" s="18" t="s">
        <v>43</v>
      </c>
      <c r="F293" s="18" t="s">
        <v>1070</v>
      </c>
      <c r="G293" s="18" t="s">
        <v>138</v>
      </c>
      <c r="H293" s="18" t="s">
        <v>1825</v>
      </c>
      <c r="I293" s="18" t="s">
        <v>909</v>
      </c>
      <c r="J293" s="18" t="s">
        <v>147</v>
      </c>
      <c r="K293" s="18" t="s">
        <v>148</v>
      </c>
      <c r="L293" s="18" t="s">
        <v>909</v>
      </c>
      <c r="M293" s="18" t="s">
        <v>1063</v>
      </c>
      <c r="N293" s="18" t="s">
        <v>48</v>
      </c>
      <c r="O293" s="18" t="s">
        <v>41</v>
      </c>
    </row>
    <row r="294" spans="1:15" x14ac:dyDescent="0.3">
      <c r="A294" s="18" t="s">
        <v>568</v>
      </c>
      <c r="B294" s="18" t="s">
        <v>1826</v>
      </c>
      <c r="C294" s="18" t="s">
        <v>1096</v>
      </c>
      <c r="D294" s="18" t="s">
        <v>51</v>
      </c>
      <c r="E294" s="18" t="s">
        <v>909</v>
      </c>
      <c r="F294" s="18" t="s">
        <v>28</v>
      </c>
      <c r="G294" s="18" t="s">
        <v>195</v>
      </c>
      <c r="H294" s="18" t="s">
        <v>1827</v>
      </c>
      <c r="I294" s="18" t="s">
        <v>1828</v>
      </c>
      <c r="J294" s="18" t="s">
        <v>189</v>
      </c>
      <c r="K294" s="18" t="s">
        <v>1077</v>
      </c>
      <c r="L294" s="18" t="s">
        <v>1829</v>
      </c>
      <c r="M294" s="18" t="s">
        <v>40</v>
      </c>
      <c r="N294" s="18" t="s">
        <v>33</v>
      </c>
      <c r="O294" s="18" t="s">
        <v>93</v>
      </c>
    </row>
    <row r="295" spans="1:15" x14ac:dyDescent="0.3">
      <c r="A295" s="18" t="s">
        <v>569</v>
      </c>
      <c r="B295" s="18" t="s">
        <v>570</v>
      </c>
      <c r="C295" s="18" t="s">
        <v>1066</v>
      </c>
      <c r="D295" s="18" t="s">
        <v>17</v>
      </c>
      <c r="E295" s="18" t="s">
        <v>124</v>
      </c>
      <c r="F295" s="18" t="s">
        <v>87</v>
      </c>
      <c r="G295" s="18" t="s">
        <v>1830</v>
      </c>
      <c r="H295" s="18" t="s">
        <v>1831</v>
      </c>
      <c r="I295" s="18" t="s">
        <v>1832</v>
      </c>
      <c r="J295" s="18" t="s">
        <v>89</v>
      </c>
      <c r="K295" s="18" t="s">
        <v>92</v>
      </c>
      <c r="L295" s="18" t="s">
        <v>1833</v>
      </c>
      <c r="M295" s="18" t="s">
        <v>72</v>
      </c>
      <c r="N295" s="18" t="s">
        <v>1582</v>
      </c>
      <c r="O295" s="18" t="s">
        <v>34</v>
      </c>
    </row>
    <row r="296" spans="1:15" x14ac:dyDescent="0.3">
      <c r="A296" s="18" t="s">
        <v>571</v>
      </c>
      <c r="B296" s="18" t="s">
        <v>169</v>
      </c>
      <c r="C296" s="18" t="s">
        <v>1461</v>
      </c>
      <c r="D296" s="18" t="s">
        <v>17</v>
      </c>
      <c r="E296" s="18" t="s">
        <v>124</v>
      </c>
      <c r="F296" s="18" t="s">
        <v>28</v>
      </c>
      <c r="G296" s="18" t="s">
        <v>101</v>
      </c>
      <c r="H296" s="18" t="s">
        <v>1834</v>
      </c>
      <c r="I296" s="18" t="s">
        <v>1614</v>
      </c>
      <c r="J296" s="18" t="s">
        <v>102</v>
      </c>
      <c r="K296" s="18" t="s">
        <v>909</v>
      </c>
      <c r="L296" s="18" t="s">
        <v>1835</v>
      </c>
      <c r="M296" s="18" t="s">
        <v>23</v>
      </c>
      <c r="N296" s="18" t="s">
        <v>33</v>
      </c>
      <c r="O296" s="18" t="s">
        <v>34</v>
      </c>
    </row>
    <row r="297" spans="1:15" x14ac:dyDescent="0.3">
      <c r="A297" s="18" t="s">
        <v>572</v>
      </c>
      <c r="B297" s="18" t="s">
        <v>179</v>
      </c>
      <c r="C297" s="18" t="s">
        <v>1154</v>
      </c>
      <c r="D297" s="18" t="s">
        <v>51</v>
      </c>
      <c r="E297" s="18" t="s">
        <v>84</v>
      </c>
      <c r="F297" s="18" t="s">
        <v>28</v>
      </c>
      <c r="G297" s="18" t="s">
        <v>195</v>
      </c>
      <c r="H297" s="18" t="s">
        <v>1524</v>
      </c>
      <c r="I297" s="18" t="s">
        <v>1836</v>
      </c>
      <c r="J297" s="18" t="s">
        <v>102</v>
      </c>
      <c r="K297" s="18" t="s">
        <v>103</v>
      </c>
      <c r="L297" s="18" t="s">
        <v>1837</v>
      </c>
      <c r="M297" s="18" t="s">
        <v>72</v>
      </c>
      <c r="N297" s="18" t="s">
        <v>48</v>
      </c>
      <c r="O297" s="18" t="s">
        <v>93</v>
      </c>
    </row>
    <row r="298" spans="1:15" x14ac:dyDescent="0.3">
      <c r="A298" s="18" t="s">
        <v>573</v>
      </c>
      <c r="B298" s="18" t="s">
        <v>478</v>
      </c>
      <c r="C298" s="18" t="s">
        <v>1033</v>
      </c>
      <c r="D298" s="18" t="s">
        <v>51</v>
      </c>
      <c r="E298" s="18" t="s">
        <v>84</v>
      </c>
      <c r="F298" s="18" t="s">
        <v>132</v>
      </c>
      <c r="G298" s="18" t="s">
        <v>133</v>
      </c>
      <c r="H298" s="18" t="s">
        <v>1838</v>
      </c>
      <c r="I298" s="18" t="s">
        <v>1413</v>
      </c>
      <c r="J298" s="18" t="s">
        <v>147</v>
      </c>
      <c r="K298" s="18" t="s">
        <v>148</v>
      </c>
      <c r="L298" s="18" t="s">
        <v>1839</v>
      </c>
      <c r="M298" s="18" t="s">
        <v>32</v>
      </c>
      <c r="N298" s="18" t="s">
        <v>33</v>
      </c>
      <c r="O298" s="18" t="s">
        <v>938</v>
      </c>
    </row>
    <row r="299" spans="1:15" x14ac:dyDescent="0.3">
      <c r="A299" s="18" t="s">
        <v>574</v>
      </c>
      <c r="B299" s="18" t="s">
        <v>478</v>
      </c>
      <c r="C299" s="18" t="s">
        <v>1840</v>
      </c>
      <c r="D299" s="18" t="s">
        <v>51</v>
      </c>
      <c r="E299" s="18" t="s">
        <v>18</v>
      </c>
      <c r="F299" s="18" t="s">
        <v>1124</v>
      </c>
      <c r="G299" s="18" t="s">
        <v>221</v>
      </c>
      <c r="H299" s="18" t="s">
        <v>1841</v>
      </c>
      <c r="I299" s="18" t="s">
        <v>1842</v>
      </c>
      <c r="J299" s="18" t="s">
        <v>922</v>
      </c>
      <c r="K299" s="18" t="s">
        <v>46</v>
      </c>
      <c r="L299" s="18" t="s">
        <v>1843</v>
      </c>
      <c r="M299" s="18" t="s">
        <v>23</v>
      </c>
      <c r="N299" s="18" t="s">
        <v>61</v>
      </c>
      <c r="O299" s="18" t="s">
        <v>34</v>
      </c>
    </row>
    <row r="300" spans="1:15" x14ac:dyDescent="0.3">
      <c r="A300" s="18" t="s">
        <v>575</v>
      </c>
      <c r="B300" s="18" t="s">
        <v>576</v>
      </c>
      <c r="C300" s="18" t="s">
        <v>1129</v>
      </c>
      <c r="D300" s="18" t="s">
        <v>51</v>
      </c>
      <c r="E300" s="18" t="s">
        <v>111</v>
      </c>
      <c r="F300" s="18" t="s">
        <v>53</v>
      </c>
      <c r="G300" s="18" t="s">
        <v>69</v>
      </c>
      <c r="H300" s="18" t="s">
        <v>909</v>
      </c>
      <c r="I300" s="18" t="s">
        <v>909</v>
      </c>
      <c r="J300" s="18" t="s">
        <v>909</v>
      </c>
      <c r="K300" s="18" t="s">
        <v>56</v>
      </c>
      <c r="L300" s="18" t="s">
        <v>1844</v>
      </c>
      <c r="M300" s="18" t="s">
        <v>99</v>
      </c>
      <c r="N300" s="18" t="s">
        <v>33</v>
      </c>
      <c r="O300" s="18" t="s">
        <v>41</v>
      </c>
    </row>
    <row r="301" spans="1:15" x14ac:dyDescent="0.3">
      <c r="A301" s="18" t="s">
        <v>577</v>
      </c>
      <c r="B301" s="18" t="s">
        <v>309</v>
      </c>
      <c r="C301" s="18" t="s">
        <v>1164</v>
      </c>
      <c r="D301" s="18" t="s">
        <v>51</v>
      </c>
      <c r="E301" s="18" t="s">
        <v>68</v>
      </c>
      <c r="F301" s="18" t="s">
        <v>19</v>
      </c>
      <c r="G301" s="18" t="s">
        <v>158</v>
      </c>
      <c r="H301" s="18" t="s">
        <v>1845</v>
      </c>
      <c r="I301" s="18" t="s">
        <v>909</v>
      </c>
      <c r="J301" s="18" t="s">
        <v>180</v>
      </c>
      <c r="K301" s="18" t="s">
        <v>181</v>
      </c>
      <c r="L301" s="18" t="s">
        <v>1846</v>
      </c>
      <c r="M301" s="18" t="s">
        <v>40</v>
      </c>
      <c r="N301" s="18" t="s">
        <v>33</v>
      </c>
      <c r="O301" s="18" t="s">
        <v>93</v>
      </c>
    </row>
    <row r="302" spans="1:15" x14ac:dyDescent="0.3">
      <c r="A302" s="18" t="s">
        <v>578</v>
      </c>
      <c r="B302" s="18" t="s">
        <v>503</v>
      </c>
      <c r="C302" s="18" t="s">
        <v>1461</v>
      </c>
      <c r="D302" s="18" t="s">
        <v>51</v>
      </c>
      <c r="E302" s="18" t="s">
        <v>111</v>
      </c>
      <c r="F302" s="18" t="s">
        <v>19</v>
      </c>
      <c r="G302" s="18" t="s">
        <v>1847</v>
      </c>
      <c r="H302" s="18" t="s">
        <v>1412</v>
      </c>
      <c r="I302" s="18" t="s">
        <v>1848</v>
      </c>
      <c r="J302" s="18" t="s">
        <v>180</v>
      </c>
      <c r="K302" s="18" t="s">
        <v>181</v>
      </c>
      <c r="L302" s="18" t="s">
        <v>1422</v>
      </c>
      <c r="M302" s="18" t="s">
        <v>60</v>
      </c>
      <c r="N302" s="18" t="s">
        <v>33</v>
      </c>
      <c r="O302" s="18" t="s">
        <v>25</v>
      </c>
    </row>
    <row r="303" spans="1:15" x14ac:dyDescent="0.3">
      <c r="A303" s="18" t="s">
        <v>579</v>
      </c>
      <c r="B303" s="18" t="s">
        <v>436</v>
      </c>
      <c r="C303" s="18" t="s">
        <v>1411</v>
      </c>
      <c r="D303" s="18" t="s">
        <v>17</v>
      </c>
      <c r="E303" s="18" t="s">
        <v>84</v>
      </c>
      <c r="F303" s="18" t="s">
        <v>38</v>
      </c>
      <c r="G303" s="18" t="s">
        <v>167</v>
      </c>
      <c r="H303" s="18" t="s">
        <v>1849</v>
      </c>
      <c r="I303" s="18" t="s">
        <v>1447</v>
      </c>
      <c r="J303" s="18" t="s">
        <v>916</v>
      </c>
      <c r="K303" s="18" t="s">
        <v>39</v>
      </c>
      <c r="L303" s="18" t="s">
        <v>1850</v>
      </c>
      <c r="M303" s="18" t="s">
        <v>60</v>
      </c>
      <c r="N303" s="18" t="s">
        <v>33</v>
      </c>
      <c r="O303" s="18" t="s">
        <v>93</v>
      </c>
    </row>
    <row r="304" spans="1:15" x14ac:dyDescent="0.3">
      <c r="A304" s="18" t="s">
        <v>580</v>
      </c>
      <c r="B304" s="18" t="s">
        <v>131</v>
      </c>
      <c r="C304" s="18" t="s">
        <v>1457</v>
      </c>
      <c r="D304" s="18" t="s">
        <v>51</v>
      </c>
      <c r="E304" s="18" t="s">
        <v>86</v>
      </c>
      <c r="F304" s="18" t="s">
        <v>132</v>
      </c>
      <c r="G304" s="18" t="s">
        <v>138</v>
      </c>
      <c r="H304" s="18" t="s">
        <v>1492</v>
      </c>
      <c r="I304" s="18" t="s">
        <v>1177</v>
      </c>
      <c r="J304" s="18" t="s">
        <v>147</v>
      </c>
      <c r="K304" s="18" t="s">
        <v>1346</v>
      </c>
      <c r="L304" s="18" t="s">
        <v>1851</v>
      </c>
      <c r="M304" s="18" t="s">
        <v>60</v>
      </c>
      <c r="N304" s="18" t="s">
        <v>48</v>
      </c>
      <c r="O304" s="18" t="s">
        <v>93</v>
      </c>
    </row>
    <row r="305" spans="1:15" x14ac:dyDescent="0.3">
      <c r="A305" s="18" t="s">
        <v>581</v>
      </c>
      <c r="B305" s="18" t="s">
        <v>543</v>
      </c>
      <c r="C305" s="18" t="s">
        <v>1418</v>
      </c>
      <c r="D305" s="18" t="s">
        <v>96</v>
      </c>
      <c r="E305" s="18" t="s">
        <v>64</v>
      </c>
      <c r="F305" s="18" t="s">
        <v>19</v>
      </c>
      <c r="G305" s="18" t="s">
        <v>105</v>
      </c>
      <c r="H305" s="18" t="s">
        <v>1852</v>
      </c>
      <c r="I305" s="18" t="s">
        <v>909</v>
      </c>
      <c r="J305" s="18" t="s">
        <v>180</v>
      </c>
      <c r="K305" s="18" t="s">
        <v>181</v>
      </c>
      <c r="L305" s="18" t="s">
        <v>1853</v>
      </c>
      <c r="M305" s="18" t="s">
        <v>40</v>
      </c>
      <c r="N305" s="18" t="s">
        <v>61</v>
      </c>
      <c r="O305" s="18" t="s">
        <v>41</v>
      </c>
    </row>
    <row r="306" spans="1:15" x14ac:dyDescent="0.3">
      <c r="A306" s="18" t="s">
        <v>582</v>
      </c>
      <c r="B306" s="18" t="s">
        <v>583</v>
      </c>
      <c r="C306" s="18" t="s">
        <v>919</v>
      </c>
      <c r="D306" s="18" t="s">
        <v>51</v>
      </c>
      <c r="E306" s="18" t="s">
        <v>1428</v>
      </c>
      <c r="F306" s="18" t="s">
        <v>909</v>
      </c>
      <c r="G306" s="18" t="s">
        <v>153</v>
      </c>
      <c r="H306" s="18" t="s">
        <v>1718</v>
      </c>
      <c r="I306" s="18" t="s">
        <v>1854</v>
      </c>
      <c r="J306" s="18" t="s">
        <v>232</v>
      </c>
      <c r="K306" s="18" t="s">
        <v>160</v>
      </c>
      <c r="L306" s="18" t="s">
        <v>1855</v>
      </c>
      <c r="M306" s="18" t="s">
        <v>1063</v>
      </c>
      <c r="N306" s="18" t="s">
        <v>61</v>
      </c>
      <c r="O306" s="18" t="s">
        <v>34</v>
      </c>
    </row>
    <row r="307" spans="1:15" x14ac:dyDescent="0.3">
      <c r="A307" s="18" t="s">
        <v>584</v>
      </c>
      <c r="B307" s="18" t="s">
        <v>909</v>
      </c>
      <c r="C307" s="18" t="s">
        <v>1809</v>
      </c>
      <c r="D307" s="18" t="s">
        <v>17</v>
      </c>
      <c r="E307" s="18" t="s">
        <v>909</v>
      </c>
      <c r="F307" s="18" t="s">
        <v>934</v>
      </c>
      <c r="G307" s="18" t="s">
        <v>167</v>
      </c>
      <c r="H307" s="18" t="s">
        <v>1856</v>
      </c>
      <c r="I307" s="18" t="s">
        <v>1857</v>
      </c>
      <c r="J307" s="18" t="s">
        <v>80</v>
      </c>
      <c r="K307" s="18" t="s">
        <v>81</v>
      </c>
      <c r="L307" s="18" t="s">
        <v>1422</v>
      </c>
      <c r="M307" s="18" t="s">
        <v>99</v>
      </c>
      <c r="N307" s="18" t="s">
        <v>65</v>
      </c>
      <c r="O307" s="18" t="s">
        <v>93</v>
      </c>
    </row>
    <row r="308" spans="1:15" x14ac:dyDescent="0.3">
      <c r="A308" s="18" t="s">
        <v>585</v>
      </c>
      <c r="B308" s="18" t="s">
        <v>586</v>
      </c>
      <c r="C308" s="18" t="s">
        <v>1267</v>
      </c>
      <c r="D308" s="18" t="s">
        <v>51</v>
      </c>
      <c r="E308" s="18" t="s">
        <v>111</v>
      </c>
      <c r="F308" s="18" t="s">
        <v>19</v>
      </c>
      <c r="G308" s="18" t="s">
        <v>105</v>
      </c>
      <c r="H308" s="18" t="s">
        <v>1858</v>
      </c>
      <c r="I308" s="18" t="s">
        <v>1859</v>
      </c>
      <c r="J308" s="18" t="s">
        <v>180</v>
      </c>
      <c r="K308" s="18" t="s">
        <v>181</v>
      </c>
      <c r="L308" s="18" t="s">
        <v>1860</v>
      </c>
      <c r="M308" s="18" t="s">
        <v>40</v>
      </c>
      <c r="N308" s="18" t="s">
        <v>33</v>
      </c>
      <c r="O308" s="18" t="s">
        <v>25</v>
      </c>
    </row>
    <row r="309" spans="1:15" x14ac:dyDescent="0.3">
      <c r="A309" s="18" t="s">
        <v>587</v>
      </c>
      <c r="B309" s="18" t="s">
        <v>503</v>
      </c>
      <c r="C309" s="18" t="s">
        <v>1511</v>
      </c>
      <c r="D309" s="18" t="s">
        <v>920</v>
      </c>
      <c r="E309" s="18" t="s">
        <v>1861</v>
      </c>
      <c r="F309" s="18" t="s">
        <v>38</v>
      </c>
      <c r="G309" s="18" t="s">
        <v>79</v>
      </c>
      <c r="H309" s="18" t="s">
        <v>904</v>
      </c>
      <c r="I309" s="18" t="s">
        <v>1862</v>
      </c>
      <c r="J309" s="18" t="s">
        <v>80</v>
      </c>
      <c r="K309" s="18" t="s">
        <v>81</v>
      </c>
      <c r="L309" s="18" t="s">
        <v>1863</v>
      </c>
      <c r="M309" s="18" t="s">
        <v>72</v>
      </c>
      <c r="N309" s="18" t="s">
        <v>65</v>
      </c>
      <c r="O309" s="18" t="s">
        <v>93</v>
      </c>
    </row>
    <row r="310" spans="1:15" x14ac:dyDescent="0.3">
      <c r="A310" s="18" t="s">
        <v>588</v>
      </c>
      <c r="B310" s="18" t="s">
        <v>589</v>
      </c>
      <c r="C310" s="18" t="s">
        <v>1427</v>
      </c>
      <c r="D310" s="18" t="s">
        <v>51</v>
      </c>
      <c r="E310" s="18" t="s">
        <v>124</v>
      </c>
      <c r="F310" s="18" t="s">
        <v>28</v>
      </c>
      <c r="G310" s="18" t="s">
        <v>195</v>
      </c>
      <c r="H310" s="18" t="s">
        <v>1864</v>
      </c>
      <c r="I310" s="18" t="s">
        <v>1865</v>
      </c>
      <c r="J310" s="18" t="s">
        <v>30</v>
      </c>
      <c r="K310" s="18" t="s">
        <v>31</v>
      </c>
      <c r="L310" s="18" t="s">
        <v>1866</v>
      </c>
      <c r="M310" s="18" t="s">
        <v>1063</v>
      </c>
      <c r="N310" s="18" t="s">
        <v>65</v>
      </c>
      <c r="O310" s="18" t="s">
        <v>1045</v>
      </c>
    </row>
    <row r="311" spans="1:15" x14ac:dyDescent="0.3">
      <c r="A311" s="18" t="s">
        <v>590</v>
      </c>
      <c r="B311" s="18" t="s">
        <v>909</v>
      </c>
      <c r="C311" s="18" t="s">
        <v>1442</v>
      </c>
      <c r="D311" s="18" t="s">
        <v>17</v>
      </c>
      <c r="E311" s="18" t="s">
        <v>37</v>
      </c>
      <c r="F311" s="18" t="s">
        <v>87</v>
      </c>
      <c r="G311" s="18" t="s">
        <v>324</v>
      </c>
      <c r="H311" s="18" t="s">
        <v>1216</v>
      </c>
      <c r="I311" s="18" t="s">
        <v>1858</v>
      </c>
      <c r="J311" s="18" t="s">
        <v>171</v>
      </c>
      <c r="K311" s="18" t="s">
        <v>113</v>
      </c>
      <c r="L311" s="18" t="s">
        <v>1867</v>
      </c>
      <c r="M311" s="18" t="s">
        <v>40</v>
      </c>
      <c r="N311" s="18" t="s">
        <v>33</v>
      </c>
      <c r="O311" s="18" t="s">
        <v>93</v>
      </c>
    </row>
    <row r="312" spans="1:15" x14ac:dyDescent="0.3">
      <c r="A312" s="18" t="s">
        <v>591</v>
      </c>
      <c r="B312" s="18" t="s">
        <v>490</v>
      </c>
      <c r="C312" s="18" t="s">
        <v>1868</v>
      </c>
      <c r="D312" s="18" t="s">
        <v>17</v>
      </c>
      <c r="E312" s="18" t="s">
        <v>37</v>
      </c>
      <c r="F312" s="18" t="s">
        <v>44</v>
      </c>
      <c r="G312" s="18" t="s">
        <v>221</v>
      </c>
      <c r="H312" s="18" t="s">
        <v>1869</v>
      </c>
      <c r="I312" s="18" t="s">
        <v>1870</v>
      </c>
      <c r="J312" s="18" t="s">
        <v>154</v>
      </c>
      <c r="K312" s="18" t="s">
        <v>155</v>
      </c>
      <c r="L312" s="18" t="s">
        <v>909</v>
      </c>
      <c r="M312" s="18" t="s">
        <v>40</v>
      </c>
      <c r="N312" s="18" t="s">
        <v>24</v>
      </c>
      <c r="O312" s="18" t="s">
        <v>34</v>
      </c>
    </row>
    <row r="313" spans="1:15" x14ac:dyDescent="0.3">
      <c r="A313" s="18" t="s">
        <v>592</v>
      </c>
      <c r="B313" s="18" t="s">
        <v>593</v>
      </c>
      <c r="C313" s="18" t="s">
        <v>1511</v>
      </c>
      <c r="D313" s="18" t="s">
        <v>17</v>
      </c>
      <c r="E313" s="18" t="s">
        <v>18</v>
      </c>
      <c r="F313" s="18" t="s">
        <v>53</v>
      </c>
      <c r="G313" s="18" t="s">
        <v>69</v>
      </c>
      <c r="H313" s="18" t="s">
        <v>1871</v>
      </c>
      <c r="I313" s="18" t="s">
        <v>1872</v>
      </c>
      <c r="J313" s="18" t="s">
        <v>70</v>
      </c>
      <c r="K313" s="18" t="s">
        <v>71</v>
      </c>
      <c r="L313" s="18" t="s">
        <v>1873</v>
      </c>
      <c r="M313" s="18" t="s">
        <v>23</v>
      </c>
      <c r="N313" s="18" t="s">
        <v>1410</v>
      </c>
      <c r="O313" s="18" t="s">
        <v>34</v>
      </c>
    </row>
    <row r="314" spans="1:15" x14ac:dyDescent="0.3">
      <c r="A314" s="18" t="s">
        <v>594</v>
      </c>
      <c r="B314" s="18" t="s">
        <v>1874</v>
      </c>
      <c r="C314" s="18" t="s">
        <v>1875</v>
      </c>
      <c r="D314" s="18" t="s">
        <v>51</v>
      </c>
      <c r="E314" s="18" t="s">
        <v>124</v>
      </c>
      <c r="F314" s="18" t="s">
        <v>87</v>
      </c>
      <c r="G314" s="18" t="s">
        <v>112</v>
      </c>
      <c r="H314" s="18" t="s">
        <v>1876</v>
      </c>
      <c r="I314" s="18" t="s">
        <v>909</v>
      </c>
      <c r="J314" s="18" t="s">
        <v>216</v>
      </c>
      <c r="K314" s="18" t="s">
        <v>1201</v>
      </c>
      <c r="L314" s="18" t="s">
        <v>1877</v>
      </c>
      <c r="M314" s="18" t="s">
        <v>32</v>
      </c>
      <c r="N314" s="18" t="s">
        <v>48</v>
      </c>
      <c r="O314" s="18" t="s">
        <v>41</v>
      </c>
    </row>
    <row r="315" spans="1:15" x14ac:dyDescent="0.3">
      <c r="A315" s="18" t="s">
        <v>909</v>
      </c>
      <c r="B315" s="18" t="s">
        <v>535</v>
      </c>
      <c r="C315" s="18" t="s">
        <v>1271</v>
      </c>
      <c r="D315" s="18" t="s">
        <v>51</v>
      </c>
      <c r="E315" s="18" t="s">
        <v>64</v>
      </c>
      <c r="F315" s="18" t="s">
        <v>44</v>
      </c>
      <c r="G315" s="18" t="s">
        <v>1878</v>
      </c>
      <c r="H315" s="18" t="s">
        <v>1879</v>
      </c>
      <c r="I315" s="18" t="s">
        <v>1880</v>
      </c>
      <c r="J315" s="18" t="s">
        <v>244</v>
      </c>
      <c r="K315" s="18" t="s">
        <v>280</v>
      </c>
      <c r="L315" s="18" t="s">
        <v>1881</v>
      </c>
      <c r="M315" s="18" t="s">
        <v>32</v>
      </c>
      <c r="N315" s="18" t="s">
        <v>33</v>
      </c>
      <c r="O315" s="18" t="s">
        <v>93</v>
      </c>
    </row>
    <row r="316" spans="1:15" x14ac:dyDescent="0.3">
      <c r="A316" s="18" t="s">
        <v>595</v>
      </c>
      <c r="B316" s="18" t="s">
        <v>596</v>
      </c>
      <c r="C316" s="18" t="s">
        <v>909</v>
      </c>
      <c r="D316" s="18" t="s">
        <v>51</v>
      </c>
      <c r="E316" s="18" t="s">
        <v>18</v>
      </c>
      <c r="F316" s="18" t="s">
        <v>44</v>
      </c>
      <c r="G316" s="18" t="s">
        <v>221</v>
      </c>
      <c r="H316" s="18" t="s">
        <v>1882</v>
      </c>
      <c r="I316" s="18" t="s">
        <v>909</v>
      </c>
      <c r="J316" s="18" t="s">
        <v>154</v>
      </c>
      <c r="K316" s="18" t="s">
        <v>155</v>
      </c>
      <c r="L316" s="18" t="s">
        <v>1883</v>
      </c>
      <c r="M316" s="18" t="s">
        <v>99</v>
      </c>
      <c r="N316" s="18" t="s">
        <v>33</v>
      </c>
      <c r="O316" s="18" t="s">
        <v>41</v>
      </c>
    </row>
    <row r="317" spans="1:15" x14ac:dyDescent="0.3">
      <c r="A317" s="18" t="s">
        <v>597</v>
      </c>
      <c r="B317" s="18" t="s">
        <v>303</v>
      </c>
      <c r="C317" s="18" t="s">
        <v>1041</v>
      </c>
      <c r="D317" s="18" t="s">
        <v>17</v>
      </c>
      <c r="E317" s="18" t="s">
        <v>64</v>
      </c>
      <c r="F317" s="18" t="s">
        <v>28</v>
      </c>
      <c r="G317" s="18" t="s">
        <v>29</v>
      </c>
      <c r="H317" s="18" t="s">
        <v>1884</v>
      </c>
      <c r="I317" s="18" t="s">
        <v>1885</v>
      </c>
      <c r="J317" s="18" t="s">
        <v>1886</v>
      </c>
      <c r="K317" s="18" t="s">
        <v>103</v>
      </c>
      <c r="L317" s="18" t="s">
        <v>1887</v>
      </c>
      <c r="M317" s="18" t="s">
        <v>40</v>
      </c>
      <c r="N317" s="18" t="s">
        <v>65</v>
      </c>
      <c r="O317" s="18" t="s">
        <v>25</v>
      </c>
    </row>
    <row r="318" spans="1:15" x14ac:dyDescent="0.3">
      <c r="A318" s="18" t="s">
        <v>598</v>
      </c>
      <c r="B318" s="18" t="s">
        <v>576</v>
      </c>
      <c r="C318" s="18" t="s">
        <v>1888</v>
      </c>
      <c r="D318" s="18" t="s">
        <v>51</v>
      </c>
      <c r="E318" s="18" t="s">
        <v>52</v>
      </c>
      <c r="F318" s="18" t="s">
        <v>1889</v>
      </c>
      <c r="G318" s="18" t="s">
        <v>909</v>
      </c>
      <c r="H318" s="18" t="s">
        <v>1890</v>
      </c>
      <c r="I318" s="18" t="s">
        <v>1891</v>
      </c>
      <c r="J318" s="18" t="s">
        <v>267</v>
      </c>
      <c r="K318" s="18" t="s">
        <v>268</v>
      </c>
      <c r="L318" s="18" t="s">
        <v>1892</v>
      </c>
      <c r="M318" s="18" t="s">
        <v>72</v>
      </c>
      <c r="N318" s="18" t="s">
        <v>24</v>
      </c>
      <c r="O318" s="18" t="s">
        <v>938</v>
      </c>
    </row>
    <row r="319" spans="1:15" x14ac:dyDescent="0.3">
      <c r="A319" s="18" t="s">
        <v>599</v>
      </c>
      <c r="B319" s="18" t="s">
        <v>600</v>
      </c>
      <c r="C319" s="18" t="s">
        <v>928</v>
      </c>
      <c r="D319" s="18" t="s">
        <v>51</v>
      </c>
      <c r="E319" s="18" t="s">
        <v>86</v>
      </c>
      <c r="F319" s="18" t="s">
        <v>87</v>
      </c>
      <c r="G319" s="18" t="s">
        <v>88</v>
      </c>
      <c r="H319" s="18" t="s">
        <v>1893</v>
      </c>
      <c r="I319" s="18" t="s">
        <v>1894</v>
      </c>
      <c r="J319" s="18" t="s">
        <v>1895</v>
      </c>
      <c r="K319" s="18" t="s">
        <v>1201</v>
      </c>
      <c r="L319" s="18" t="s">
        <v>1896</v>
      </c>
      <c r="M319" s="18" t="s">
        <v>47</v>
      </c>
      <c r="N319" s="18" t="s">
        <v>24</v>
      </c>
      <c r="O319" s="18" t="s">
        <v>25</v>
      </c>
    </row>
    <row r="320" spans="1:15" x14ac:dyDescent="0.3">
      <c r="A320" s="18" t="s">
        <v>601</v>
      </c>
      <c r="B320" s="18" t="s">
        <v>602</v>
      </c>
      <c r="C320" s="18" t="s">
        <v>1475</v>
      </c>
      <c r="D320" s="18" t="s">
        <v>51</v>
      </c>
      <c r="E320" s="18" t="s">
        <v>532</v>
      </c>
      <c r="F320" s="18" t="s">
        <v>132</v>
      </c>
      <c r="G320" s="18" t="s">
        <v>133</v>
      </c>
      <c r="H320" s="18" t="s">
        <v>1897</v>
      </c>
      <c r="I320" s="18" t="s">
        <v>1898</v>
      </c>
      <c r="J320" s="18" t="s">
        <v>173</v>
      </c>
      <c r="K320" s="18" t="s">
        <v>174</v>
      </c>
      <c r="L320" s="18" t="s">
        <v>1899</v>
      </c>
      <c r="M320" s="18" t="s">
        <v>99</v>
      </c>
      <c r="N320" s="18" t="s">
        <v>33</v>
      </c>
      <c r="O320" s="18" t="s">
        <v>34</v>
      </c>
    </row>
    <row r="321" spans="1:15" x14ac:dyDescent="0.3">
      <c r="A321" s="18" t="s">
        <v>603</v>
      </c>
      <c r="B321" s="18" t="s">
        <v>589</v>
      </c>
      <c r="C321" s="18" t="s">
        <v>1489</v>
      </c>
      <c r="D321" s="18" t="s">
        <v>51</v>
      </c>
      <c r="E321" s="18" t="s">
        <v>111</v>
      </c>
      <c r="F321" s="18" t="s">
        <v>53</v>
      </c>
      <c r="G321" s="18" t="s">
        <v>54</v>
      </c>
      <c r="H321" s="18" t="s">
        <v>1900</v>
      </c>
      <c r="I321" s="18" t="s">
        <v>1167</v>
      </c>
      <c r="J321" s="18" t="s">
        <v>55</v>
      </c>
      <c r="K321" s="18" t="s">
        <v>56</v>
      </c>
      <c r="L321" s="18" t="s">
        <v>1901</v>
      </c>
      <c r="M321" s="18" t="s">
        <v>23</v>
      </c>
      <c r="N321" s="18" t="s">
        <v>33</v>
      </c>
      <c r="O321" s="18" t="s">
        <v>25</v>
      </c>
    </row>
    <row r="322" spans="1:15" x14ac:dyDescent="0.3">
      <c r="A322" s="18" t="s">
        <v>604</v>
      </c>
      <c r="B322" s="18" t="s">
        <v>605</v>
      </c>
      <c r="C322" s="18" t="s">
        <v>1310</v>
      </c>
      <c r="D322" s="18" t="s">
        <v>51</v>
      </c>
      <c r="E322" s="18" t="s">
        <v>86</v>
      </c>
      <c r="F322" s="18" t="s">
        <v>38</v>
      </c>
      <c r="G322" s="18" t="s">
        <v>79</v>
      </c>
      <c r="H322" s="18" t="s">
        <v>1902</v>
      </c>
      <c r="I322" s="18" t="s">
        <v>1903</v>
      </c>
      <c r="J322" s="18" t="s">
        <v>97</v>
      </c>
      <c r="K322" s="18" t="s">
        <v>98</v>
      </c>
      <c r="L322" s="18" t="s">
        <v>909</v>
      </c>
      <c r="M322" s="18" t="s">
        <v>72</v>
      </c>
      <c r="N322" s="18" t="s">
        <v>33</v>
      </c>
      <c r="O322" s="18" t="s">
        <v>93</v>
      </c>
    </row>
    <row r="323" spans="1:15" x14ac:dyDescent="0.3">
      <c r="A323" s="18" t="s">
        <v>606</v>
      </c>
      <c r="B323" s="18" t="s">
        <v>607</v>
      </c>
      <c r="C323" s="18" t="s">
        <v>933</v>
      </c>
      <c r="D323" s="18" t="s">
        <v>17</v>
      </c>
      <c r="E323" s="18" t="s">
        <v>68</v>
      </c>
      <c r="F323" s="18" t="s">
        <v>38</v>
      </c>
      <c r="G323" s="18" t="s">
        <v>167</v>
      </c>
      <c r="H323" s="18" t="s">
        <v>1579</v>
      </c>
      <c r="I323" s="18" t="s">
        <v>909</v>
      </c>
      <c r="J323" s="18" t="s">
        <v>916</v>
      </c>
      <c r="K323" s="18" t="s">
        <v>39</v>
      </c>
      <c r="L323" s="18" t="s">
        <v>1904</v>
      </c>
      <c r="M323" s="18" t="s">
        <v>99</v>
      </c>
      <c r="N323" s="18" t="s">
        <v>24</v>
      </c>
      <c r="O323" s="18" t="s">
        <v>41</v>
      </c>
    </row>
    <row r="324" spans="1:15" x14ac:dyDescent="0.3">
      <c r="A324" s="18" t="s">
        <v>608</v>
      </c>
      <c r="B324" s="18" t="s">
        <v>609</v>
      </c>
      <c r="C324" s="18" t="s">
        <v>1041</v>
      </c>
      <c r="D324" s="18" t="s">
        <v>17</v>
      </c>
      <c r="E324" s="18" t="s">
        <v>52</v>
      </c>
      <c r="F324" s="18" t="s">
        <v>44</v>
      </c>
      <c r="G324" s="18" t="s">
        <v>45</v>
      </c>
      <c r="H324" s="18" t="s">
        <v>1905</v>
      </c>
      <c r="I324" s="18" t="s">
        <v>1268</v>
      </c>
      <c r="J324" s="18" t="s">
        <v>154</v>
      </c>
      <c r="K324" s="18" t="s">
        <v>155</v>
      </c>
      <c r="L324" s="18" t="s">
        <v>1906</v>
      </c>
      <c r="M324" s="18" t="s">
        <v>1063</v>
      </c>
      <c r="N324" s="18" t="s">
        <v>909</v>
      </c>
      <c r="O324" s="18" t="s">
        <v>93</v>
      </c>
    </row>
    <row r="325" spans="1:15" x14ac:dyDescent="0.3">
      <c r="A325" s="18" t="s">
        <v>610</v>
      </c>
      <c r="B325" s="18" t="s">
        <v>605</v>
      </c>
      <c r="C325" s="18" t="s">
        <v>1282</v>
      </c>
      <c r="D325" s="18" t="s">
        <v>51</v>
      </c>
      <c r="E325" s="18" t="s">
        <v>68</v>
      </c>
      <c r="F325" s="18" t="s">
        <v>28</v>
      </c>
      <c r="G325" s="18" t="s">
        <v>195</v>
      </c>
      <c r="H325" s="18" t="s">
        <v>1907</v>
      </c>
      <c r="I325" s="18" t="s">
        <v>1550</v>
      </c>
      <c r="J325" s="18" t="s">
        <v>189</v>
      </c>
      <c r="K325" s="18" t="s">
        <v>1077</v>
      </c>
      <c r="L325" s="18" t="s">
        <v>1908</v>
      </c>
      <c r="M325" s="18" t="s">
        <v>1013</v>
      </c>
      <c r="N325" s="18" t="s">
        <v>61</v>
      </c>
      <c r="O325" s="18" t="s">
        <v>938</v>
      </c>
    </row>
    <row r="326" spans="1:15" x14ac:dyDescent="0.3">
      <c r="A326" s="18" t="s">
        <v>909</v>
      </c>
      <c r="B326" s="18" t="s">
        <v>611</v>
      </c>
      <c r="C326" s="18" t="s">
        <v>1674</v>
      </c>
      <c r="D326" s="18" t="s">
        <v>51</v>
      </c>
      <c r="E326" s="18" t="s">
        <v>124</v>
      </c>
      <c r="F326" s="18" t="s">
        <v>53</v>
      </c>
      <c r="G326" s="18" t="s">
        <v>54</v>
      </c>
      <c r="H326" s="18" t="s">
        <v>1909</v>
      </c>
      <c r="I326" s="18" t="s">
        <v>1910</v>
      </c>
      <c r="J326" s="18" t="s">
        <v>55</v>
      </c>
      <c r="K326" s="18" t="s">
        <v>56</v>
      </c>
      <c r="L326" s="18" t="s">
        <v>1911</v>
      </c>
      <c r="M326" s="18" t="s">
        <v>32</v>
      </c>
      <c r="N326" s="18" t="s">
        <v>33</v>
      </c>
      <c r="O326" s="18" t="s">
        <v>938</v>
      </c>
    </row>
    <row r="327" spans="1:15" x14ac:dyDescent="0.3">
      <c r="A327" s="18" t="s">
        <v>612</v>
      </c>
      <c r="B327" s="18" t="s">
        <v>613</v>
      </c>
      <c r="C327" s="18" t="s">
        <v>1271</v>
      </c>
      <c r="D327" s="18" t="s">
        <v>17</v>
      </c>
      <c r="E327" s="18" t="s">
        <v>64</v>
      </c>
      <c r="F327" s="18" t="s">
        <v>87</v>
      </c>
      <c r="G327" s="18" t="s">
        <v>112</v>
      </c>
      <c r="H327" s="18" t="s">
        <v>1532</v>
      </c>
      <c r="I327" s="18" t="s">
        <v>1478</v>
      </c>
      <c r="J327" s="18" t="s">
        <v>192</v>
      </c>
      <c r="K327" s="18" t="s">
        <v>193</v>
      </c>
      <c r="L327" s="18" t="s">
        <v>1912</v>
      </c>
      <c r="M327" s="18" t="s">
        <v>99</v>
      </c>
      <c r="N327" s="18" t="s">
        <v>33</v>
      </c>
      <c r="O327" s="18" t="s">
        <v>938</v>
      </c>
    </row>
    <row r="328" spans="1:15" x14ac:dyDescent="0.3">
      <c r="A328" s="18" t="s">
        <v>614</v>
      </c>
      <c r="B328" s="18" t="s">
        <v>615</v>
      </c>
      <c r="C328" s="18" t="s">
        <v>1388</v>
      </c>
      <c r="D328" s="18" t="s">
        <v>51</v>
      </c>
      <c r="E328" s="18" t="s">
        <v>64</v>
      </c>
      <c r="F328" s="18" t="s">
        <v>909</v>
      </c>
      <c r="G328" s="18" t="s">
        <v>153</v>
      </c>
      <c r="H328" s="18" t="s">
        <v>1913</v>
      </c>
      <c r="I328" s="18" t="s">
        <v>1407</v>
      </c>
      <c r="J328" s="18" t="s">
        <v>922</v>
      </c>
      <c r="K328" s="18" t="s">
        <v>46</v>
      </c>
      <c r="L328" s="18" t="s">
        <v>1914</v>
      </c>
      <c r="M328" s="18" t="s">
        <v>32</v>
      </c>
      <c r="N328" s="18" t="s">
        <v>909</v>
      </c>
      <c r="O328" s="18" t="s">
        <v>938</v>
      </c>
    </row>
    <row r="329" spans="1:15" x14ac:dyDescent="0.3">
      <c r="A329" s="18" t="s">
        <v>616</v>
      </c>
      <c r="B329" s="18" t="s">
        <v>42</v>
      </c>
      <c r="C329" s="18" t="s">
        <v>1009</v>
      </c>
      <c r="D329" s="18" t="s">
        <v>51</v>
      </c>
      <c r="E329" s="18" t="s">
        <v>68</v>
      </c>
      <c r="F329" s="18" t="s">
        <v>28</v>
      </c>
      <c r="G329" s="18" t="s">
        <v>29</v>
      </c>
      <c r="H329" s="18" t="s">
        <v>948</v>
      </c>
      <c r="I329" s="18" t="s">
        <v>1915</v>
      </c>
      <c r="J329" s="18" t="s">
        <v>75</v>
      </c>
      <c r="K329" s="18" t="s">
        <v>1916</v>
      </c>
      <c r="L329" s="18" t="s">
        <v>1917</v>
      </c>
      <c r="M329" s="18" t="s">
        <v>32</v>
      </c>
      <c r="N329" s="18" t="s">
        <v>1582</v>
      </c>
      <c r="O329" s="18" t="s">
        <v>93</v>
      </c>
    </row>
    <row r="330" spans="1:15" x14ac:dyDescent="0.3">
      <c r="A330" s="18" t="s">
        <v>617</v>
      </c>
      <c r="B330" s="18" t="s">
        <v>618</v>
      </c>
      <c r="C330" s="18" t="s">
        <v>1489</v>
      </c>
      <c r="D330" s="18" t="s">
        <v>51</v>
      </c>
      <c r="E330" s="18" t="s">
        <v>124</v>
      </c>
      <c r="F330" s="18" t="s">
        <v>28</v>
      </c>
      <c r="G330" s="18" t="s">
        <v>29</v>
      </c>
      <c r="H330" s="18" t="s">
        <v>1255</v>
      </c>
      <c r="I330" s="18" t="s">
        <v>1918</v>
      </c>
      <c r="J330" s="18" t="s">
        <v>30</v>
      </c>
      <c r="K330" s="18" t="s">
        <v>31</v>
      </c>
      <c r="L330" s="18" t="s">
        <v>1919</v>
      </c>
      <c r="M330" s="18" t="s">
        <v>72</v>
      </c>
      <c r="N330" s="18" t="s">
        <v>65</v>
      </c>
      <c r="O330" s="18" t="s">
        <v>25</v>
      </c>
    </row>
    <row r="331" spans="1:15" x14ac:dyDescent="0.3">
      <c r="A331" s="18" t="s">
        <v>909</v>
      </c>
      <c r="B331" s="18" t="s">
        <v>909</v>
      </c>
      <c r="C331" s="18" t="s">
        <v>913</v>
      </c>
      <c r="D331" s="18" t="s">
        <v>17</v>
      </c>
      <c r="E331" s="18" t="s">
        <v>68</v>
      </c>
      <c r="F331" s="18" t="s">
        <v>132</v>
      </c>
      <c r="G331" s="18" t="s">
        <v>223</v>
      </c>
      <c r="H331" s="18" t="s">
        <v>1920</v>
      </c>
      <c r="I331" s="18" t="s">
        <v>1921</v>
      </c>
      <c r="J331" s="18" t="s">
        <v>134</v>
      </c>
      <c r="K331" s="18" t="s">
        <v>135</v>
      </c>
      <c r="L331" s="18" t="s">
        <v>1922</v>
      </c>
      <c r="M331" s="18" t="s">
        <v>72</v>
      </c>
      <c r="N331" s="18" t="s">
        <v>61</v>
      </c>
      <c r="O331" s="18" t="s">
        <v>34</v>
      </c>
    </row>
    <row r="332" spans="1:15" x14ac:dyDescent="0.3">
      <c r="A332" s="18" t="s">
        <v>619</v>
      </c>
      <c r="B332" s="18" t="s">
        <v>909</v>
      </c>
      <c r="C332" s="18" t="s">
        <v>909</v>
      </c>
      <c r="D332" s="18" t="s">
        <v>1142</v>
      </c>
      <c r="E332" s="18" t="s">
        <v>1651</v>
      </c>
      <c r="F332" s="18" t="s">
        <v>132</v>
      </c>
      <c r="G332" s="18" t="s">
        <v>138</v>
      </c>
      <c r="H332" s="18" t="s">
        <v>1404</v>
      </c>
      <c r="I332" s="18" t="s">
        <v>909</v>
      </c>
      <c r="J332" s="18" t="s">
        <v>134</v>
      </c>
      <c r="K332" s="18" t="s">
        <v>135</v>
      </c>
      <c r="L332" s="18" t="s">
        <v>1923</v>
      </c>
      <c r="M332" s="18" t="s">
        <v>32</v>
      </c>
      <c r="N332" s="18" t="s">
        <v>24</v>
      </c>
      <c r="O332" s="18" t="s">
        <v>41</v>
      </c>
    </row>
    <row r="333" spans="1:15" x14ac:dyDescent="0.3">
      <c r="A333" s="18" t="s">
        <v>620</v>
      </c>
      <c r="B333" s="18" t="s">
        <v>266</v>
      </c>
      <c r="C333" s="18" t="s">
        <v>1411</v>
      </c>
      <c r="D333" s="18" t="s">
        <v>51</v>
      </c>
      <c r="E333" s="18" t="s">
        <v>37</v>
      </c>
      <c r="F333" s="18" t="s">
        <v>132</v>
      </c>
      <c r="G333" s="18" t="s">
        <v>138</v>
      </c>
      <c r="H333" s="18" t="s">
        <v>1924</v>
      </c>
      <c r="I333" s="18" t="s">
        <v>1925</v>
      </c>
      <c r="J333" s="18" t="s">
        <v>909</v>
      </c>
      <c r="K333" s="18" t="s">
        <v>148</v>
      </c>
      <c r="L333" s="18" t="s">
        <v>1926</v>
      </c>
      <c r="M333" s="18" t="s">
        <v>23</v>
      </c>
      <c r="N333" s="18" t="s">
        <v>24</v>
      </c>
      <c r="O333" s="18" t="s">
        <v>93</v>
      </c>
    </row>
    <row r="334" spans="1:15" x14ac:dyDescent="0.3">
      <c r="A334" s="18" t="s">
        <v>621</v>
      </c>
      <c r="B334" s="18" t="s">
        <v>166</v>
      </c>
      <c r="C334" s="18" t="s">
        <v>903</v>
      </c>
      <c r="D334" s="18" t="s">
        <v>909</v>
      </c>
      <c r="E334" s="18" t="s">
        <v>111</v>
      </c>
      <c r="F334" s="18" t="s">
        <v>44</v>
      </c>
      <c r="G334" s="18" t="s">
        <v>153</v>
      </c>
      <c r="H334" s="18" t="s">
        <v>1927</v>
      </c>
      <c r="I334" s="18" t="s">
        <v>909</v>
      </c>
      <c r="J334" s="18" t="s">
        <v>1305</v>
      </c>
      <c r="K334" s="18" t="s">
        <v>280</v>
      </c>
      <c r="L334" s="18" t="s">
        <v>1928</v>
      </c>
      <c r="M334" s="18" t="s">
        <v>32</v>
      </c>
      <c r="N334" s="18" t="s">
        <v>61</v>
      </c>
      <c r="O334" s="18" t="s">
        <v>41</v>
      </c>
    </row>
    <row r="335" spans="1:15" x14ac:dyDescent="0.3">
      <c r="A335" s="18" t="s">
        <v>622</v>
      </c>
      <c r="B335" s="18" t="s">
        <v>1929</v>
      </c>
      <c r="C335" s="18" t="s">
        <v>1442</v>
      </c>
      <c r="D335" s="18" t="s">
        <v>51</v>
      </c>
      <c r="E335" s="18" t="s">
        <v>86</v>
      </c>
      <c r="F335" s="18" t="s">
        <v>28</v>
      </c>
      <c r="G335" s="18" t="s">
        <v>101</v>
      </c>
      <c r="H335" s="18" t="s">
        <v>909</v>
      </c>
      <c r="I335" s="18" t="s">
        <v>1067</v>
      </c>
      <c r="J335" s="18" t="s">
        <v>30</v>
      </c>
      <c r="K335" s="18" t="s">
        <v>31</v>
      </c>
      <c r="L335" s="18" t="s">
        <v>1930</v>
      </c>
      <c r="M335" s="18" t="s">
        <v>32</v>
      </c>
      <c r="N335" s="18" t="s">
        <v>65</v>
      </c>
      <c r="O335" s="18" t="s">
        <v>938</v>
      </c>
    </row>
    <row r="336" spans="1:15" x14ac:dyDescent="0.3">
      <c r="A336" s="18" t="s">
        <v>623</v>
      </c>
      <c r="B336" s="18" t="s">
        <v>422</v>
      </c>
      <c r="C336" s="18" t="s">
        <v>1271</v>
      </c>
      <c r="D336" s="18" t="s">
        <v>17</v>
      </c>
      <c r="E336" s="18" t="s">
        <v>52</v>
      </c>
      <c r="F336" s="18" t="s">
        <v>19</v>
      </c>
      <c r="G336" s="18" t="s">
        <v>20</v>
      </c>
      <c r="H336" s="18" t="s">
        <v>1931</v>
      </c>
      <c r="I336" s="18" t="s">
        <v>1108</v>
      </c>
      <c r="J336" s="18" t="s">
        <v>21</v>
      </c>
      <c r="K336" s="18" t="s">
        <v>22</v>
      </c>
      <c r="L336" s="18" t="s">
        <v>1932</v>
      </c>
      <c r="M336" s="18" t="s">
        <v>32</v>
      </c>
      <c r="N336" s="18" t="s">
        <v>33</v>
      </c>
      <c r="O336" s="18" t="s">
        <v>938</v>
      </c>
    </row>
    <row r="337" spans="1:15" x14ac:dyDescent="0.3">
      <c r="A337" s="18" t="s">
        <v>624</v>
      </c>
      <c r="B337" s="18" t="s">
        <v>561</v>
      </c>
      <c r="C337" s="18" t="s">
        <v>1442</v>
      </c>
      <c r="D337" s="18" t="s">
        <v>17</v>
      </c>
      <c r="E337" s="18" t="s">
        <v>18</v>
      </c>
      <c r="F337" s="18" t="s">
        <v>1070</v>
      </c>
      <c r="G337" s="18" t="s">
        <v>138</v>
      </c>
      <c r="H337" s="18" t="s">
        <v>1933</v>
      </c>
      <c r="I337" s="18" t="s">
        <v>1567</v>
      </c>
      <c r="J337" s="18" t="s">
        <v>1934</v>
      </c>
      <c r="K337" s="18" t="s">
        <v>135</v>
      </c>
      <c r="L337" s="18" t="s">
        <v>1935</v>
      </c>
      <c r="M337" s="18" t="s">
        <v>99</v>
      </c>
      <c r="N337" s="18" t="s">
        <v>61</v>
      </c>
      <c r="O337" s="18" t="s">
        <v>938</v>
      </c>
    </row>
    <row r="338" spans="1:15" x14ac:dyDescent="0.3">
      <c r="A338" s="18" t="s">
        <v>625</v>
      </c>
      <c r="B338" s="18" t="s">
        <v>438</v>
      </c>
      <c r="C338" s="18" t="s">
        <v>973</v>
      </c>
      <c r="D338" s="18" t="s">
        <v>17</v>
      </c>
      <c r="E338" s="18" t="s">
        <v>68</v>
      </c>
      <c r="F338" s="18" t="s">
        <v>132</v>
      </c>
      <c r="G338" s="18" t="s">
        <v>138</v>
      </c>
      <c r="H338" s="18" t="s">
        <v>1482</v>
      </c>
      <c r="I338" s="18" t="s">
        <v>1936</v>
      </c>
      <c r="J338" s="18" t="s">
        <v>147</v>
      </c>
      <c r="K338" s="18" t="s">
        <v>148</v>
      </c>
      <c r="L338" s="18" t="s">
        <v>1937</v>
      </c>
      <c r="M338" s="18" t="s">
        <v>47</v>
      </c>
      <c r="N338" s="18" t="s">
        <v>61</v>
      </c>
      <c r="O338" s="18" t="s">
        <v>34</v>
      </c>
    </row>
    <row r="339" spans="1:15" x14ac:dyDescent="0.3">
      <c r="A339" s="18" t="s">
        <v>626</v>
      </c>
      <c r="B339" s="18" t="s">
        <v>1938</v>
      </c>
      <c r="C339" s="18" t="s">
        <v>1267</v>
      </c>
      <c r="D339" s="18" t="s">
        <v>17</v>
      </c>
      <c r="E339" s="18" t="s">
        <v>909</v>
      </c>
      <c r="F339" s="18" t="s">
        <v>19</v>
      </c>
      <c r="G339" s="18" t="s">
        <v>158</v>
      </c>
      <c r="H339" s="18" t="s">
        <v>1939</v>
      </c>
      <c r="I339" s="18" t="s">
        <v>909</v>
      </c>
      <c r="J339" s="18" t="s">
        <v>120</v>
      </c>
      <c r="K339" s="18" t="s">
        <v>1742</v>
      </c>
      <c r="L339" s="18" t="s">
        <v>1940</v>
      </c>
      <c r="M339" s="18" t="s">
        <v>47</v>
      </c>
      <c r="N339" s="18" t="s">
        <v>24</v>
      </c>
      <c r="O339" s="18" t="s">
        <v>41</v>
      </c>
    </row>
    <row r="340" spans="1:15" x14ac:dyDescent="0.3">
      <c r="A340" s="18" t="s">
        <v>1046</v>
      </c>
      <c r="B340" s="18" t="s">
        <v>627</v>
      </c>
      <c r="C340" s="18" t="s">
        <v>909</v>
      </c>
      <c r="D340" s="18" t="s">
        <v>51</v>
      </c>
      <c r="E340" s="18" t="s">
        <v>37</v>
      </c>
      <c r="F340" s="18" t="s">
        <v>132</v>
      </c>
      <c r="G340" s="18" t="s">
        <v>133</v>
      </c>
      <c r="H340" s="18" t="s">
        <v>1941</v>
      </c>
      <c r="I340" s="18" t="s">
        <v>909</v>
      </c>
      <c r="J340" s="18" t="s">
        <v>147</v>
      </c>
      <c r="K340" s="18" t="s">
        <v>148</v>
      </c>
      <c r="L340" s="18" t="s">
        <v>1942</v>
      </c>
      <c r="M340" s="18" t="s">
        <v>23</v>
      </c>
      <c r="N340" s="18" t="s">
        <v>33</v>
      </c>
      <c r="O340" s="18" t="s">
        <v>41</v>
      </c>
    </row>
    <row r="341" spans="1:15" x14ac:dyDescent="0.3">
      <c r="A341" s="18" t="s">
        <v>628</v>
      </c>
      <c r="B341" s="18" t="s">
        <v>376</v>
      </c>
      <c r="C341" s="18" t="s">
        <v>1107</v>
      </c>
      <c r="D341" s="18" t="s">
        <v>17</v>
      </c>
      <c r="E341" s="18" t="s">
        <v>68</v>
      </c>
      <c r="F341" s="18" t="s">
        <v>19</v>
      </c>
      <c r="G341" s="18" t="s">
        <v>105</v>
      </c>
      <c r="H341" s="18" t="s">
        <v>1943</v>
      </c>
      <c r="I341" s="18" t="s">
        <v>909</v>
      </c>
      <c r="J341" s="18" t="s">
        <v>1944</v>
      </c>
      <c r="K341" s="18" t="s">
        <v>121</v>
      </c>
      <c r="L341" s="18" t="s">
        <v>1945</v>
      </c>
      <c r="M341" s="18" t="s">
        <v>40</v>
      </c>
      <c r="N341" s="18" t="s">
        <v>48</v>
      </c>
      <c r="O341" s="18" t="s">
        <v>938</v>
      </c>
    </row>
    <row r="342" spans="1:15" x14ac:dyDescent="0.3">
      <c r="A342" s="18" t="s">
        <v>629</v>
      </c>
      <c r="B342" s="18" t="s">
        <v>374</v>
      </c>
      <c r="C342" s="18" t="s">
        <v>1082</v>
      </c>
      <c r="D342" s="18" t="s">
        <v>908</v>
      </c>
      <c r="E342" s="18" t="s">
        <v>18</v>
      </c>
      <c r="F342" s="18" t="s">
        <v>87</v>
      </c>
      <c r="G342" s="18" t="s">
        <v>112</v>
      </c>
      <c r="H342" s="18" t="s">
        <v>1946</v>
      </c>
      <c r="I342" s="18" t="s">
        <v>1947</v>
      </c>
      <c r="J342" s="18" t="s">
        <v>216</v>
      </c>
      <c r="K342" s="18" t="s">
        <v>1201</v>
      </c>
      <c r="L342" s="18" t="s">
        <v>1948</v>
      </c>
      <c r="M342" s="18" t="s">
        <v>60</v>
      </c>
      <c r="N342" s="18" t="s">
        <v>33</v>
      </c>
      <c r="O342" s="18" t="s">
        <v>25</v>
      </c>
    </row>
    <row r="343" spans="1:15" x14ac:dyDescent="0.3">
      <c r="A343" s="18" t="s">
        <v>630</v>
      </c>
      <c r="B343" s="18" t="s">
        <v>1949</v>
      </c>
      <c r="C343" s="18" t="s">
        <v>1464</v>
      </c>
      <c r="D343" s="18" t="s">
        <v>920</v>
      </c>
      <c r="E343" s="18" t="s">
        <v>64</v>
      </c>
      <c r="F343" s="18" t="s">
        <v>38</v>
      </c>
      <c r="G343" s="18" t="s">
        <v>79</v>
      </c>
      <c r="H343" s="18" t="s">
        <v>1663</v>
      </c>
      <c r="I343" s="18" t="s">
        <v>1950</v>
      </c>
      <c r="J343" s="18" t="s">
        <v>1738</v>
      </c>
      <c r="K343" s="18" t="s">
        <v>39</v>
      </c>
      <c r="L343" s="18" t="s">
        <v>1951</v>
      </c>
      <c r="M343" s="18" t="s">
        <v>32</v>
      </c>
      <c r="N343" s="18" t="s">
        <v>24</v>
      </c>
      <c r="O343" s="18" t="s">
        <v>1114</v>
      </c>
    </row>
    <row r="344" spans="1:15" x14ac:dyDescent="0.3">
      <c r="A344" s="18" t="s">
        <v>631</v>
      </c>
      <c r="B344" s="18" t="s">
        <v>1952</v>
      </c>
      <c r="C344" s="18" t="s">
        <v>1132</v>
      </c>
      <c r="D344" s="18" t="s">
        <v>17</v>
      </c>
      <c r="E344" s="18" t="s">
        <v>1953</v>
      </c>
      <c r="F344" s="18" t="s">
        <v>19</v>
      </c>
      <c r="G344" s="18" t="s">
        <v>1954</v>
      </c>
      <c r="H344" s="18" t="s">
        <v>1955</v>
      </c>
      <c r="I344" s="18" t="s">
        <v>1956</v>
      </c>
      <c r="J344" s="18" t="s">
        <v>267</v>
      </c>
      <c r="K344" s="18" t="s">
        <v>268</v>
      </c>
      <c r="L344" s="18" t="s">
        <v>1957</v>
      </c>
      <c r="M344" s="18" t="s">
        <v>47</v>
      </c>
      <c r="N344" s="18" t="s">
        <v>65</v>
      </c>
      <c r="O344" s="18" t="s">
        <v>25</v>
      </c>
    </row>
    <row r="345" spans="1:15" x14ac:dyDescent="0.3">
      <c r="A345" s="18" t="s">
        <v>632</v>
      </c>
      <c r="B345" s="18" t="s">
        <v>633</v>
      </c>
      <c r="C345" s="18" t="s">
        <v>1082</v>
      </c>
      <c r="D345" s="18" t="s">
        <v>17</v>
      </c>
      <c r="E345" s="18" t="s">
        <v>634</v>
      </c>
      <c r="F345" s="18" t="s">
        <v>28</v>
      </c>
      <c r="G345" s="18" t="s">
        <v>29</v>
      </c>
      <c r="H345" s="18" t="s">
        <v>1958</v>
      </c>
      <c r="I345" s="18" t="s">
        <v>1959</v>
      </c>
      <c r="J345" s="18" t="s">
        <v>102</v>
      </c>
      <c r="K345" s="18" t="s">
        <v>103</v>
      </c>
      <c r="L345" s="18" t="s">
        <v>1960</v>
      </c>
      <c r="M345" s="18" t="s">
        <v>32</v>
      </c>
      <c r="N345" s="18" t="s">
        <v>61</v>
      </c>
      <c r="O345" s="18" t="s">
        <v>93</v>
      </c>
    </row>
    <row r="346" spans="1:15" x14ac:dyDescent="0.3">
      <c r="A346" s="18" t="s">
        <v>635</v>
      </c>
      <c r="B346" s="18" t="s">
        <v>1961</v>
      </c>
      <c r="C346" s="18" t="s">
        <v>1475</v>
      </c>
      <c r="D346" s="18" t="s">
        <v>17</v>
      </c>
      <c r="E346" s="18" t="s">
        <v>37</v>
      </c>
      <c r="F346" s="18" t="s">
        <v>132</v>
      </c>
      <c r="G346" s="18" t="s">
        <v>1962</v>
      </c>
      <c r="H346" s="18" t="s">
        <v>1963</v>
      </c>
      <c r="I346" s="18" t="s">
        <v>1725</v>
      </c>
      <c r="J346" s="18" t="s">
        <v>173</v>
      </c>
      <c r="K346" s="18" t="s">
        <v>174</v>
      </c>
      <c r="L346" s="18" t="s">
        <v>1964</v>
      </c>
      <c r="M346" s="18" t="s">
        <v>72</v>
      </c>
      <c r="N346" s="18" t="s">
        <v>24</v>
      </c>
      <c r="O346" s="18" t="s">
        <v>34</v>
      </c>
    </row>
    <row r="347" spans="1:15" x14ac:dyDescent="0.3">
      <c r="A347" s="18" t="s">
        <v>636</v>
      </c>
      <c r="B347" s="18" t="s">
        <v>637</v>
      </c>
      <c r="C347" s="18" t="s">
        <v>1210</v>
      </c>
      <c r="D347" s="18" t="s">
        <v>17</v>
      </c>
      <c r="E347" s="18" t="s">
        <v>43</v>
      </c>
      <c r="F347" s="18" t="s">
        <v>28</v>
      </c>
      <c r="G347" s="18" t="s">
        <v>29</v>
      </c>
      <c r="H347" s="18" t="s">
        <v>1965</v>
      </c>
      <c r="I347" s="18" t="s">
        <v>909</v>
      </c>
      <c r="J347" s="18" t="s">
        <v>102</v>
      </c>
      <c r="K347" s="18" t="s">
        <v>103</v>
      </c>
      <c r="L347" s="18" t="s">
        <v>1966</v>
      </c>
      <c r="M347" s="18" t="s">
        <v>99</v>
      </c>
      <c r="N347" s="18" t="s">
        <v>48</v>
      </c>
      <c r="O347" s="18" t="s">
        <v>41</v>
      </c>
    </row>
    <row r="348" spans="1:15" x14ac:dyDescent="0.3">
      <c r="A348" s="18" t="s">
        <v>638</v>
      </c>
      <c r="B348" s="18" t="s">
        <v>27</v>
      </c>
      <c r="C348" s="18" t="s">
        <v>1020</v>
      </c>
      <c r="D348" s="18" t="s">
        <v>51</v>
      </c>
      <c r="E348" s="18" t="s">
        <v>64</v>
      </c>
      <c r="F348" s="18" t="s">
        <v>87</v>
      </c>
      <c r="G348" s="18" t="s">
        <v>88</v>
      </c>
      <c r="H348" s="18" t="s">
        <v>1328</v>
      </c>
      <c r="I348" s="18" t="s">
        <v>909</v>
      </c>
      <c r="J348" s="18" t="s">
        <v>216</v>
      </c>
      <c r="K348" s="18" t="s">
        <v>1201</v>
      </c>
      <c r="L348" s="18" t="s">
        <v>1967</v>
      </c>
      <c r="M348" s="18" t="s">
        <v>72</v>
      </c>
      <c r="N348" s="18" t="s">
        <v>48</v>
      </c>
      <c r="O348" s="18" t="s">
        <v>41</v>
      </c>
    </row>
    <row r="349" spans="1:15" x14ac:dyDescent="0.3">
      <c r="A349" s="18" t="s">
        <v>639</v>
      </c>
      <c r="B349" s="18" t="s">
        <v>640</v>
      </c>
      <c r="C349" s="18" t="s">
        <v>1968</v>
      </c>
      <c r="D349" s="18" t="s">
        <v>17</v>
      </c>
      <c r="E349" s="18" t="s">
        <v>64</v>
      </c>
      <c r="F349" s="18" t="s">
        <v>28</v>
      </c>
      <c r="G349" s="18" t="s">
        <v>101</v>
      </c>
      <c r="H349" s="18" t="s">
        <v>1969</v>
      </c>
      <c r="I349" s="18" t="s">
        <v>1970</v>
      </c>
      <c r="J349" s="18" t="s">
        <v>1971</v>
      </c>
      <c r="K349" s="18" t="s">
        <v>76</v>
      </c>
      <c r="L349" s="18" t="s">
        <v>1972</v>
      </c>
      <c r="M349" s="18" t="s">
        <v>72</v>
      </c>
      <c r="N349" s="18" t="s">
        <v>61</v>
      </c>
      <c r="O349" s="18" t="s">
        <v>93</v>
      </c>
    </row>
    <row r="350" spans="1:15" x14ac:dyDescent="0.3">
      <c r="A350" s="18" t="s">
        <v>641</v>
      </c>
      <c r="B350" s="18" t="s">
        <v>333</v>
      </c>
      <c r="C350" s="18" t="s">
        <v>909</v>
      </c>
      <c r="D350" s="18" t="s">
        <v>17</v>
      </c>
      <c r="E350" s="18" t="s">
        <v>64</v>
      </c>
      <c r="F350" s="18" t="s">
        <v>909</v>
      </c>
      <c r="G350" s="18" t="s">
        <v>195</v>
      </c>
      <c r="H350" s="18" t="s">
        <v>1973</v>
      </c>
      <c r="I350" s="18" t="s">
        <v>1974</v>
      </c>
      <c r="J350" s="18" t="s">
        <v>75</v>
      </c>
      <c r="K350" s="18" t="s">
        <v>76</v>
      </c>
      <c r="L350" s="18" t="s">
        <v>1975</v>
      </c>
      <c r="M350" s="18" t="s">
        <v>60</v>
      </c>
      <c r="N350" s="18" t="s">
        <v>61</v>
      </c>
      <c r="O350" s="18" t="s">
        <v>34</v>
      </c>
    </row>
    <row r="351" spans="1:15" x14ac:dyDescent="0.3">
      <c r="A351" s="18" t="s">
        <v>642</v>
      </c>
      <c r="B351" s="18" t="s">
        <v>643</v>
      </c>
      <c r="C351" s="18" t="s">
        <v>1976</v>
      </c>
      <c r="D351" s="18" t="s">
        <v>17</v>
      </c>
      <c r="E351" s="18" t="s">
        <v>909</v>
      </c>
      <c r="F351" s="18" t="s">
        <v>19</v>
      </c>
      <c r="G351" s="18" t="s">
        <v>20</v>
      </c>
      <c r="H351" s="18" t="s">
        <v>1977</v>
      </c>
      <c r="I351" s="18" t="s">
        <v>909</v>
      </c>
      <c r="J351" s="18" t="s">
        <v>21</v>
      </c>
      <c r="K351" s="18" t="s">
        <v>22</v>
      </c>
      <c r="L351" s="18" t="s">
        <v>1978</v>
      </c>
      <c r="M351" s="18" t="s">
        <v>60</v>
      </c>
      <c r="N351" s="18" t="s">
        <v>24</v>
      </c>
      <c r="O351" s="18" t="s">
        <v>41</v>
      </c>
    </row>
    <row r="352" spans="1:15" x14ac:dyDescent="0.3">
      <c r="A352" s="18" t="s">
        <v>644</v>
      </c>
      <c r="B352" s="18" t="s">
        <v>645</v>
      </c>
      <c r="C352" s="18" t="s">
        <v>1406</v>
      </c>
      <c r="D352" s="18" t="s">
        <v>17</v>
      </c>
      <c r="E352" s="18" t="s">
        <v>64</v>
      </c>
      <c r="F352" s="18" t="s">
        <v>44</v>
      </c>
      <c r="G352" s="18" t="s">
        <v>45</v>
      </c>
      <c r="H352" s="18" t="s">
        <v>1979</v>
      </c>
      <c r="I352" s="18" t="s">
        <v>1980</v>
      </c>
      <c r="J352" s="18" t="s">
        <v>922</v>
      </c>
      <c r="K352" s="18" t="s">
        <v>46</v>
      </c>
      <c r="L352" s="18" t="s">
        <v>1981</v>
      </c>
      <c r="M352" s="18" t="s">
        <v>40</v>
      </c>
      <c r="N352" s="18" t="s">
        <v>33</v>
      </c>
      <c r="O352" s="18" t="s">
        <v>25</v>
      </c>
    </row>
    <row r="353" spans="1:15" x14ac:dyDescent="0.3">
      <c r="A353" s="18" t="s">
        <v>646</v>
      </c>
      <c r="B353" s="18" t="s">
        <v>647</v>
      </c>
      <c r="C353" s="18" t="s">
        <v>1082</v>
      </c>
      <c r="D353" s="18" t="s">
        <v>51</v>
      </c>
      <c r="E353" s="18" t="s">
        <v>68</v>
      </c>
      <c r="F353" s="18" t="s">
        <v>38</v>
      </c>
      <c r="G353" s="18" t="s">
        <v>125</v>
      </c>
      <c r="H353" s="18" t="s">
        <v>1982</v>
      </c>
      <c r="I353" s="18" t="s">
        <v>909</v>
      </c>
      <c r="J353" s="18" t="s">
        <v>184</v>
      </c>
      <c r="K353" s="18" t="s">
        <v>59</v>
      </c>
      <c r="L353" s="18" t="s">
        <v>1983</v>
      </c>
      <c r="M353" s="18" t="s">
        <v>99</v>
      </c>
      <c r="N353" s="18" t="s">
        <v>33</v>
      </c>
      <c r="O353" s="18" t="s">
        <v>41</v>
      </c>
    </row>
    <row r="354" spans="1:15" x14ac:dyDescent="0.3">
      <c r="A354" s="18" t="s">
        <v>648</v>
      </c>
      <c r="B354" s="18" t="s">
        <v>649</v>
      </c>
      <c r="C354" s="18" t="s">
        <v>1437</v>
      </c>
      <c r="D354" s="18" t="s">
        <v>51</v>
      </c>
      <c r="E354" s="18" t="s">
        <v>1234</v>
      </c>
      <c r="F354" s="18" t="s">
        <v>44</v>
      </c>
      <c r="G354" s="18" t="s">
        <v>153</v>
      </c>
      <c r="H354" s="18" t="s">
        <v>909</v>
      </c>
      <c r="I354" s="18" t="s">
        <v>1984</v>
      </c>
      <c r="J354" s="18" t="s">
        <v>232</v>
      </c>
      <c r="K354" s="18" t="s">
        <v>160</v>
      </c>
      <c r="L354" s="18" t="s">
        <v>1985</v>
      </c>
      <c r="M354" s="18" t="s">
        <v>72</v>
      </c>
      <c r="N354" s="18" t="s">
        <v>61</v>
      </c>
      <c r="O354" s="18" t="s">
        <v>938</v>
      </c>
    </row>
    <row r="355" spans="1:15" x14ac:dyDescent="0.3">
      <c r="A355" s="18" t="s">
        <v>650</v>
      </c>
      <c r="B355" s="18" t="s">
        <v>228</v>
      </c>
      <c r="C355" s="18" t="s">
        <v>1129</v>
      </c>
      <c r="D355" s="18" t="s">
        <v>96</v>
      </c>
      <c r="E355" s="18" t="s">
        <v>124</v>
      </c>
      <c r="F355" s="18" t="s">
        <v>28</v>
      </c>
      <c r="G355" s="18" t="s">
        <v>101</v>
      </c>
      <c r="H355" s="18" t="s">
        <v>909</v>
      </c>
      <c r="I355" s="18" t="s">
        <v>909</v>
      </c>
      <c r="J355" s="18" t="s">
        <v>102</v>
      </c>
      <c r="K355" s="18" t="s">
        <v>103</v>
      </c>
      <c r="L355" s="18" t="s">
        <v>1986</v>
      </c>
      <c r="M355" s="18" t="s">
        <v>47</v>
      </c>
      <c r="N355" s="18" t="s">
        <v>65</v>
      </c>
      <c r="O355" s="18" t="s">
        <v>909</v>
      </c>
    </row>
    <row r="356" spans="1:15" x14ac:dyDescent="0.3">
      <c r="A356" s="18" t="s">
        <v>651</v>
      </c>
      <c r="B356" s="18" t="s">
        <v>436</v>
      </c>
      <c r="C356" s="18" t="s">
        <v>1271</v>
      </c>
      <c r="D356" s="18" t="s">
        <v>17</v>
      </c>
      <c r="E356" s="18" t="s">
        <v>64</v>
      </c>
      <c r="F356" s="18" t="s">
        <v>87</v>
      </c>
      <c r="G356" s="18" t="s">
        <v>324</v>
      </c>
      <c r="H356" s="18" t="s">
        <v>1987</v>
      </c>
      <c r="I356" s="18" t="s">
        <v>1783</v>
      </c>
      <c r="J356" s="18" t="s">
        <v>1988</v>
      </c>
      <c r="K356" s="18" t="s">
        <v>92</v>
      </c>
      <c r="L356" s="18" t="s">
        <v>1989</v>
      </c>
      <c r="M356" s="18" t="s">
        <v>40</v>
      </c>
      <c r="N356" s="18" t="s">
        <v>65</v>
      </c>
      <c r="O356" s="18" t="s">
        <v>938</v>
      </c>
    </row>
    <row r="357" spans="1:15" x14ac:dyDescent="0.3">
      <c r="A357" s="18" t="s">
        <v>652</v>
      </c>
      <c r="B357" s="18" t="s">
        <v>1990</v>
      </c>
      <c r="C357" s="18" t="s">
        <v>1047</v>
      </c>
      <c r="D357" s="18" t="s">
        <v>51</v>
      </c>
      <c r="E357" s="18" t="s">
        <v>177</v>
      </c>
      <c r="F357" s="18" t="s">
        <v>38</v>
      </c>
      <c r="G357" s="18" t="s">
        <v>79</v>
      </c>
      <c r="H357" s="18" t="s">
        <v>909</v>
      </c>
      <c r="I357" s="18" t="s">
        <v>1991</v>
      </c>
      <c r="J357" s="18" t="s">
        <v>97</v>
      </c>
      <c r="K357" s="18" t="s">
        <v>98</v>
      </c>
      <c r="L357" s="18" t="s">
        <v>1992</v>
      </c>
      <c r="M357" s="18" t="s">
        <v>60</v>
      </c>
      <c r="N357" s="18" t="s">
        <v>61</v>
      </c>
      <c r="O357" s="18" t="s">
        <v>34</v>
      </c>
    </row>
    <row r="358" spans="1:15" x14ac:dyDescent="0.3">
      <c r="A358" s="18" t="s">
        <v>653</v>
      </c>
      <c r="B358" s="18" t="s">
        <v>243</v>
      </c>
      <c r="C358" s="18" t="s">
        <v>1442</v>
      </c>
      <c r="D358" s="18" t="s">
        <v>51</v>
      </c>
      <c r="E358" s="18" t="s">
        <v>37</v>
      </c>
      <c r="F358" s="18" t="s">
        <v>38</v>
      </c>
      <c r="G358" s="18" t="s">
        <v>79</v>
      </c>
      <c r="H358" s="18" t="s">
        <v>1255</v>
      </c>
      <c r="I358" s="18" t="s">
        <v>1993</v>
      </c>
      <c r="J358" s="18" t="s">
        <v>97</v>
      </c>
      <c r="K358" s="18" t="s">
        <v>98</v>
      </c>
      <c r="L358" s="18" t="s">
        <v>1994</v>
      </c>
      <c r="M358" s="18" t="s">
        <v>23</v>
      </c>
      <c r="N358" s="18" t="s">
        <v>61</v>
      </c>
      <c r="O358" s="18" t="s">
        <v>93</v>
      </c>
    </row>
    <row r="359" spans="1:15" x14ac:dyDescent="0.3">
      <c r="A359" s="18" t="s">
        <v>654</v>
      </c>
      <c r="B359" s="18" t="s">
        <v>211</v>
      </c>
      <c r="C359" s="18" t="s">
        <v>1030</v>
      </c>
      <c r="D359" s="18" t="s">
        <v>51</v>
      </c>
      <c r="E359" s="18" t="s">
        <v>84</v>
      </c>
      <c r="F359" s="18" t="s">
        <v>87</v>
      </c>
      <c r="G359" s="18" t="s">
        <v>112</v>
      </c>
      <c r="H359" s="18" t="s">
        <v>1995</v>
      </c>
      <c r="I359" s="18" t="s">
        <v>1996</v>
      </c>
      <c r="J359" s="18" t="s">
        <v>216</v>
      </c>
      <c r="K359" s="18" t="s">
        <v>1201</v>
      </c>
      <c r="L359" s="18" t="s">
        <v>1997</v>
      </c>
      <c r="M359" s="18" t="s">
        <v>60</v>
      </c>
      <c r="N359" s="18" t="s">
        <v>33</v>
      </c>
      <c r="O359" s="18" t="s">
        <v>93</v>
      </c>
    </row>
    <row r="360" spans="1:15" x14ac:dyDescent="0.3">
      <c r="A360" s="18" t="s">
        <v>655</v>
      </c>
      <c r="B360" s="18" t="s">
        <v>131</v>
      </c>
      <c r="C360" s="18" t="s">
        <v>1170</v>
      </c>
      <c r="D360" s="18" t="s">
        <v>51</v>
      </c>
      <c r="E360" s="18" t="s">
        <v>43</v>
      </c>
      <c r="F360" s="18" t="s">
        <v>132</v>
      </c>
      <c r="G360" s="18" t="s">
        <v>133</v>
      </c>
      <c r="H360" s="18" t="s">
        <v>1998</v>
      </c>
      <c r="I360" s="18" t="s">
        <v>909</v>
      </c>
      <c r="J360" s="18" t="s">
        <v>139</v>
      </c>
      <c r="K360" s="18" t="s">
        <v>140</v>
      </c>
      <c r="L360" s="18" t="s">
        <v>909</v>
      </c>
      <c r="M360" s="18" t="s">
        <v>99</v>
      </c>
      <c r="N360" s="18" t="s">
        <v>65</v>
      </c>
      <c r="O360" s="18" t="s">
        <v>41</v>
      </c>
    </row>
    <row r="361" spans="1:15" x14ac:dyDescent="0.3">
      <c r="A361" s="18" t="s">
        <v>656</v>
      </c>
      <c r="B361" s="18" t="s">
        <v>446</v>
      </c>
      <c r="C361" s="18" t="s">
        <v>933</v>
      </c>
      <c r="D361" s="18" t="s">
        <v>96</v>
      </c>
      <c r="E361" s="18" t="s">
        <v>909</v>
      </c>
      <c r="F361" s="18" t="s">
        <v>44</v>
      </c>
      <c r="G361" s="18" t="s">
        <v>221</v>
      </c>
      <c r="H361" s="18" t="s">
        <v>1999</v>
      </c>
      <c r="I361" s="18" t="s">
        <v>1438</v>
      </c>
      <c r="J361" s="18" t="s">
        <v>909</v>
      </c>
      <c r="K361" s="18" t="s">
        <v>909</v>
      </c>
      <c r="L361" s="18" t="s">
        <v>2000</v>
      </c>
      <c r="M361" s="18" t="s">
        <v>60</v>
      </c>
      <c r="N361" s="18" t="s">
        <v>33</v>
      </c>
      <c r="O361" s="18" t="s">
        <v>938</v>
      </c>
    </row>
    <row r="362" spans="1:15" x14ac:dyDescent="0.3">
      <c r="A362" s="18" t="s">
        <v>657</v>
      </c>
      <c r="B362" s="18" t="s">
        <v>448</v>
      </c>
      <c r="C362" s="18" t="s">
        <v>1511</v>
      </c>
      <c r="D362" s="18" t="s">
        <v>17</v>
      </c>
      <c r="E362" s="18" t="s">
        <v>37</v>
      </c>
      <c r="F362" s="18" t="s">
        <v>28</v>
      </c>
      <c r="G362" s="18" t="s">
        <v>29</v>
      </c>
      <c r="H362" s="18" t="s">
        <v>1740</v>
      </c>
      <c r="I362" s="18" t="s">
        <v>2001</v>
      </c>
      <c r="J362" s="18" t="s">
        <v>189</v>
      </c>
      <c r="K362" s="18" t="s">
        <v>1077</v>
      </c>
      <c r="L362" s="18" t="s">
        <v>2002</v>
      </c>
      <c r="M362" s="18" t="s">
        <v>47</v>
      </c>
      <c r="N362" s="18" t="s">
        <v>65</v>
      </c>
      <c r="O362" s="18" t="s">
        <v>93</v>
      </c>
    </row>
    <row r="363" spans="1:15" x14ac:dyDescent="0.3">
      <c r="A363" s="18" t="s">
        <v>658</v>
      </c>
      <c r="B363" s="18" t="s">
        <v>659</v>
      </c>
      <c r="C363" s="18" t="s">
        <v>1427</v>
      </c>
      <c r="D363" s="18" t="s">
        <v>17</v>
      </c>
      <c r="E363" s="18" t="s">
        <v>111</v>
      </c>
      <c r="F363" s="18" t="s">
        <v>28</v>
      </c>
      <c r="G363" s="18" t="s">
        <v>195</v>
      </c>
      <c r="H363" s="18" t="s">
        <v>2003</v>
      </c>
      <c r="I363" s="18" t="s">
        <v>909</v>
      </c>
      <c r="J363" s="18" t="s">
        <v>75</v>
      </c>
      <c r="K363" s="18" t="s">
        <v>76</v>
      </c>
      <c r="L363" s="18" t="s">
        <v>2004</v>
      </c>
      <c r="M363" s="18" t="s">
        <v>23</v>
      </c>
      <c r="N363" s="18" t="s">
        <v>1119</v>
      </c>
      <c r="O363" s="18" t="s">
        <v>41</v>
      </c>
    </row>
    <row r="364" spans="1:15" x14ac:dyDescent="0.3">
      <c r="A364" s="18" t="s">
        <v>660</v>
      </c>
      <c r="B364" s="18" t="s">
        <v>538</v>
      </c>
      <c r="C364" s="18" t="s">
        <v>1210</v>
      </c>
      <c r="D364" s="18" t="s">
        <v>17</v>
      </c>
      <c r="E364" s="18" t="s">
        <v>64</v>
      </c>
      <c r="F364" s="18" t="s">
        <v>87</v>
      </c>
      <c r="G364" s="18" t="s">
        <v>112</v>
      </c>
      <c r="H364" s="18" t="s">
        <v>1718</v>
      </c>
      <c r="I364" s="18" t="s">
        <v>909</v>
      </c>
      <c r="J364" s="18" t="s">
        <v>89</v>
      </c>
      <c r="K364" s="18" t="s">
        <v>92</v>
      </c>
      <c r="L364" s="18" t="s">
        <v>2005</v>
      </c>
      <c r="M364" s="18" t="s">
        <v>23</v>
      </c>
      <c r="N364" s="18" t="s">
        <v>24</v>
      </c>
      <c r="O364" s="18" t="s">
        <v>1583</v>
      </c>
    </row>
    <row r="365" spans="1:15" x14ac:dyDescent="0.3">
      <c r="A365" s="18" t="s">
        <v>661</v>
      </c>
      <c r="B365" s="18" t="s">
        <v>362</v>
      </c>
      <c r="C365" s="18" t="s">
        <v>1406</v>
      </c>
      <c r="D365" s="18" t="s">
        <v>17</v>
      </c>
      <c r="E365" s="18" t="s">
        <v>43</v>
      </c>
      <c r="F365" s="18" t="s">
        <v>44</v>
      </c>
      <c r="G365" s="18" t="s">
        <v>45</v>
      </c>
      <c r="H365" s="18" t="s">
        <v>2006</v>
      </c>
      <c r="I365" s="18" t="s">
        <v>909</v>
      </c>
      <c r="J365" s="18" t="s">
        <v>922</v>
      </c>
      <c r="K365" s="18" t="s">
        <v>46</v>
      </c>
      <c r="L365" s="18" t="s">
        <v>2007</v>
      </c>
      <c r="M365" s="18" t="s">
        <v>47</v>
      </c>
      <c r="N365" s="18" t="s">
        <v>48</v>
      </c>
      <c r="O365" s="18" t="s">
        <v>41</v>
      </c>
    </row>
    <row r="366" spans="1:15" x14ac:dyDescent="0.3">
      <c r="A366" s="18" t="s">
        <v>662</v>
      </c>
      <c r="B366" s="18" t="s">
        <v>211</v>
      </c>
      <c r="C366" s="18" t="s">
        <v>1014</v>
      </c>
      <c r="D366" s="18" t="s">
        <v>51</v>
      </c>
      <c r="E366" s="18" t="s">
        <v>1331</v>
      </c>
      <c r="F366" s="18" t="s">
        <v>53</v>
      </c>
      <c r="G366" s="18" t="s">
        <v>69</v>
      </c>
      <c r="H366" s="18" t="s">
        <v>2008</v>
      </c>
      <c r="I366" s="18" t="s">
        <v>1716</v>
      </c>
      <c r="J366" s="18" t="s">
        <v>200</v>
      </c>
      <c r="K366" s="18" t="s">
        <v>201</v>
      </c>
      <c r="L366" s="18" t="s">
        <v>909</v>
      </c>
      <c r="M366" s="18" t="s">
        <v>1063</v>
      </c>
      <c r="N366" s="18" t="s">
        <v>24</v>
      </c>
      <c r="O366" s="18" t="s">
        <v>938</v>
      </c>
    </row>
    <row r="367" spans="1:15" x14ac:dyDescent="0.3">
      <c r="A367" s="18" t="s">
        <v>663</v>
      </c>
      <c r="B367" s="18" t="s">
        <v>664</v>
      </c>
      <c r="C367" s="18" t="s">
        <v>1549</v>
      </c>
      <c r="D367" s="18" t="s">
        <v>17</v>
      </c>
      <c r="E367" s="18" t="s">
        <v>124</v>
      </c>
      <c r="F367" s="18" t="s">
        <v>44</v>
      </c>
      <c r="G367" s="18" t="s">
        <v>45</v>
      </c>
      <c r="H367" s="18" t="s">
        <v>2009</v>
      </c>
      <c r="I367" s="18" t="s">
        <v>2010</v>
      </c>
      <c r="J367" s="18" t="s">
        <v>232</v>
      </c>
      <c r="K367" s="18" t="s">
        <v>160</v>
      </c>
      <c r="L367" s="18" t="s">
        <v>2011</v>
      </c>
      <c r="M367" s="18" t="s">
        <v>99</v>
      </c>
      <c r="N367" s="18" t="s">
        <v>24</v>
      </c>
      <c r="O367" s="18" t="s">
        <v>1689</v>
      </c>
    </row>
    <row r="368" spans="1:15" x14ac:dyDescent="0.3">
      <c r="A368" s="18" t="s">
        <v>665</v>
      </c>
      <c r="B368" s="18" t="s">
        <v>106</v>
      </c>
      <c r="C368" s="18" t="s">
        <v>1437</v>
      </c>
      <c r="D368" s="18" t="s">
        <v>51</v>
      </c>
      <c r="E368" s="18" t="s">
        <v>52</v>
      </c>
      <c r="F368" s="18" t="s">
        <v>19</v>
      </c>
      <c r="G368" s="18" t="s">
        <v>105</v>
      </c>
      <c r="H368" s="18" t="s">
        <v>2012</v>
      </c>
      <c r="I368" s="18" t="s">
        <v>2013</v>
      </c>
      <c r="J368" s="18" t="s">
        <v>909</v>
      </c>
      <c r="K368" s="18" t="s">
        <v>181</v>
      </c>
      <c r="L368" s="18" t="s">
        <v>2014</v>
      </c>
      <c r="M368" s="18" t="s">
        <v>72</v>
      </c>
      <c r="N368" s="18" t="s">
        <v>33</v>
      </c>
      <c r="O368" s="18" t="s">
        <v>93</v>
      </c>
    </row>
    <row r="369" spans="1:15" x14ac:dyDescent="0.3">
      <c r="A369" s="18" t="s">
        <v>666</v>
      </c>
      <c r="B369" s="18" t="s">
        <v>432</v>
      </c>
      <c r="C369" s="18" t="s">
        <v>928</v>
      </c>
      <c r="D369" s="18" t="s">
        <v>17</v>
      </c>
      <c r="E369" s="18" t="s">
        <v>68</v>
      </c>
      <c r="F369" s="18" t="s">
        <v>19</v>
      </c>
      <c r="G369" s="18" t="s">
        <v>20</v>
      </c>
      <c r="H369" s="18" t="s">
        <v>2015</v>
      </c>
      <c r="I369" s="18" t="s">
        <v>975</v>
      </c>
      <c r="J369" s="18" t="s">
        <v>120</v>
      </c>
      <c r="K369" s="18" t="s">
        <v>121</v>
      </c>
      <c r="L369" s="18" t="s">
        <v>2016</v>
      </c>
      <c r="M369" s="18" t="s">
        <v>47</v>
      </c>
      <c r="N369" s="18" t="s">
        <v>65</v>
      </c>
      <c r="O369" s="18" t="s">
        <v>25</v>
      </c>
    </row>
    <row r="370" spans="1:15" x14ac:dyDescent="0.3">
      <c r="A370" s="18" t="s">
        <v>667</v>
      </c>
      <c r="B370" s="18" t="s">
        <v>668</v>
      </c>
      <c r="C370" s="18" t="s">
        <v>1003</v>
      </c>
      <c r="D370" s="18" t="s">
        <v>51</v>
      </c>
      <c r="E370" s="18" t="s">
        <v>86</v>
      </c>
      <c r="F370" s="18" t="s">
        <v>87</v>
      </c>
      <c r="G370" s="18" t="s">
        <v>324</v>
      </c>
      <c r="H370" s="18" t="s">
        <v>909</v>
      </c>
      <c r="I370" s="18" t="s">
        <v>2017</v>
      </c>
      <c r="J370" s="18" t="s">
        <v>89</v>
      </c>
      <c r="K370" s="18" t="s">
        <v>92</v>
      </c>
      <c r="L370" s="18" t="s">
        <v>2018</v>
      </c>
      <c r="M370" s="18" t="s">
        <v>40</v>
      </c>
      <c r="N370" s="18" t="s">
        <v>65</v>
      </c>
      <c r="O370" s="18" t="s">
        <v>34</v>
      </c>
    </row>
    <row r="371" spans="1:15" x14ac:dyDescent="0.3">
      <c r="A371" s="18" t="s">
        <v>669</v>
      </c>
      <c r="B371" s="18" t="s">
        <v>95</v>
      </c>
      <c r="C371" s="18" t="s">
        <v>1262</v>
      </c>
      <c r="D371" s="18" t="s">
        <v>17</v>
      </c>
      <c r="E371" s="18" t="s">
        <v>68</v>
      </c>
      <c r="F371" s="18" t="s">
        <v>44</v>
      </c>
      <c r="G371" s="18" t="s">
        <v>221</v>
      </c>
      <c r="H371" s="18" t="s">
        <v>1453</v>
      </c>
      <c r="I371" s="18" t="s">
        <v>909</v>
      </c>
      <c r="J371" s="18" t="s">
        <v>922</v>
      </c>
      <c r="K371" s="18" t="s">
        <v>46</v>
      </c>
      <c r="L371" s="18" t="s">
        <v>2019</v>
      </c>
      <c r="M371" s="18" t="s">
        <v>47</v>
      </c>
      <c r="N371" s="18" t="s">
        <v>24</v>
      </c>
      <c r="O371" s="18" t="s">
        <v>41</v>
      </c>
    </row>
    <row r="372" spans="1:15" x14ac:dyDescent="0.3">
      <c r="A372" s="18" t="s">
        <v>670</v>
      </c>
      <c r="B372" s="18" t="s">
        <v>273</v>
      </c>
      <c r="C372" s="18" t="s">
        <v>1096</v>
      </c>
      <c r="D372" s="18" t="s">
        <v>17</v>
      </c>
      <c r="E372" s="18" t="s">
        <v>64</v>
      </c>
      <c r="F372" s="18" t="s">
        <v>53</v>
      </c>
      <c r="G372" s="18" t="s">
        <v>69</v>
      </c>
      <c r="H372" s="18" t="s">
        <v>2020</v>
      </c>
      <c r="I372" s="18" t="s">
        <v>2021</v>
      </c>
      <c r="J372" s="18" t="s">
        <v>107</v>
      </c>
      <c r="K372" s="18" t="s">
        <v>108</v>
      </c>
      <c r="L372" s="18" t="s">
        <v>2022</v>
      </c>
      <c r="M372" s="18" t="s">
        <v>99</v>
      </c>
      <c r="N372" s="18" t="s">
        <v>1119</v>
      </c>
      <c r="O372" s="18" t="s">
        <v>25</v>
      </c>
    </row>
    <row r="373" spans="1:15" x14ac:dyDescent="0.3">
      <c r="A373" s="18" t="s">
        <v>671</v>
      </c>
      <c r="B373" s="18" t="s">
        <v>164</v>
      </c>
      <c r="C373" s="18" t="s">
        <v>1539</v>
      </c>
      <c r="D373" s="18" t="s">
        <v>51</v>
      </c>
      <c r="E373" s="18" t="s">
        <v>64</v>
      </c>
      <c r="F373" s="18" t="s">
        <v>19</v>
      </c>
      <c r="G373" s="18" t="s">
        <v>105</v>
      </c>
      <c r="H373" s="18" t="s">
        <v>911</v>
      </c>
      <c r="I373" s="18" t="s">
        <v>2023</v>
      </c>
      <c r="J373" s="18" t="s">
        <v>267</v>
      </c>
      <c r="K373" s="18" t="s">
        <v>268</v>
      </c>
      <c r="L373" s="18" t="s">
        <v>2024</v>
      </c>
      <c r="M373" s="18" t="s">
        <v>60</v>
      </c>
      <c r="N373" s="18" t="s">
        <v>33</v>
      </c>
      <c r="O373" s="18" t="s">
        <v>938</v>
      </c>
    </row>
    <row r="374" spans="1:15" x14ac:dyDescent="0.3">
      <c r="A374" s="18" t="s">
        <v>672</v>
      </c>
      <c r="B374" s="18" t="s">
        <v>602</v>
      </c>
      <c r="C374" s="18" t="s">
        <v>1468</v>
      </c>
      <c r="D374" s="18" t="s">
        <v>51</v>
      </c>
      <c r="E374" s="18" t="s">
        <v>18</v>
      </c>
      <c r="F374" s="18" t="s">
        <v>132</v>
      </c>
      <c r="G374" s="18" t="s">
        <v>223</v>
      </c>
      <c r="H374" s="18" t="s">
        <v>953</v>
      </c>
      <c r="I374" s="18" t="s">
        <v>2025</v>
      </c>
      <c r="J374" s="18" t="s">
        <v>134</v>
      </c>
      <c r="K374" s="18" t="s">
        <v>135</v>
      </c>
      <c r="L374" s="18" t="s">
        <v>909</v>
      </c>
      <c r="M374" s="18" t="s">
        <v>909</v>
      </c>
      <c r="N374" s="18" t="s">
        <v>48</v>
      </c>
      <c r="O374" s="18" t="s">
        <v>34</v>
      </c>
    </row>
    <row r="375" spans="1:15" x14ac:dyDescent="0.3">
      <c r="A375" s="18" t="s">
        <v>673</v>
      </c>
      <c r="B375" s="18" t="s">
        <v>627</v>
      </c>
      <c r="C375" s="18" t="s">
        <v>947</v>
      </c>
      <c r="D375" s="18" t="s">
        <v>51</v>
      </c>
      <c r="E375" s="18" t="s">
        <v>43</v>
      </c>
      <c r="F375" s="18" t="s">
        <v>38</v>
      </c>
      <c r="G375" s="18" t="s">
        <v>167</v>
      </c>
      <c r="H375" s="18" t="s">
        <v>1080</v>
      </c>
      <c r="I375" s="18" t="s">
        <v>2026</v>
      </c>
      <c r="J375" s="18" t="s">
        <v>97</v>
      </c>
      <c r="K375" s="18" t="s">
        <v>98</v>
      </c>
      <c r="L375" s="18" t="s">
        <v>2027</v>
      </c>
      <c r="M375" s="18" t="s">
        <v>60</v>
      </c>
      <c r="N375" s="18" t="s">
        <v>61</v>
      </c>
      <c r="O375" s="18" t="s">
        <v>25</v>
      </c>
    </row>
    <row r="376" spans="1:15" x14ac:dyDescent="0.3">
      <c r="A376" s="18" t="s">
        <v>674</v>
      </c>
      <c r="B376" s="18" t="s">
        <v>260</v>
      </c>
      <c r="C376" s="18" t="s">
        <v>1731</v>
      </c>
      <c r="D376" s="18" t="s">
        <v>17</v>
      </c>
      <c r="E376" s="18" t="s">
        <v>909</v>
      </c>
      <c r="F376" s="18" t="s">
        <v>1124</v>
      </c>
      <c r="G376" s="18" t="s">
        <v>153</v>
      </c>
      <c r="H376" s="18" t="s">
        <v>2028</v>
      </c>
      <c r="I376" s="18" t="s">
        <v>1384</v>
      </c>
      <c r="J376" s="18" t="s">
        <v>232</v>
      </c>
      <c r="K376" s="18" t="s">
        <v>160</v>
      </c>
      <c r="L376" s="18" t="s">
        <v>2029</v>
      </c>
      <c r="M376" s="18" t="s">
        <v>99</v>
      </c>
      <c r="N376" s="18" t="s">
        <v>61</v>
      </c>
      <c r="O376" s="18" t="s">
        <v>1689</v>
      </c>
    </row>
    <row r="377" spans="1:15" x14ac:dyDescent="0.3">
      <c r="A377" s="18" t="s">
        <v>675</v>
      </c>
      <c r="B377" s="18" t="s">
        <v>326</v>
      </c>
      <c r="C377" s="18" t="s">
        <v>2030</v>
      </c>
      <c r="D377" s="18" t="s">
        <v>17</v>
      </c>
      <c r="E377" s="18" t="s">
        <v>37</v>
      </c>
      <c r="F377" s="18" t="s">
        <v>87</v>
      </c>
      <c r="G377" s="18" t="s">
        <v>112</v>
      </c>
      <c r="H377" s="18" t="s">
        <v>1575</v>
      </c>
      <c r="I377" s="18" t="s">
        <v>2031</v>
      </c>
      <c r="J377" s="18" t="s">
        <v>89</v>
      </c>
      <c r="K377" s="18" t="s">
        <v>92</v>
      </c>
      <c r="L377" s="18" t="s">
        <v>2032</v>
      </c>
      <c r="M377" s="18" t="s">
        <v>1013</v>
      </c>
      <c r="N377" s="18" t="s">
        <v>48</v>
      </c>
      <c r="O377" s="18" t="s">
        <v>93</v>
      </c>
    </row>
    <row r="378" spans="1:15" x14ac:dyDescent="0.3">
      <c r="A378" s="18" t="s">
        <v>676</v>
      </c>
      <c r="B378" s="18" t="s">
        <v>194</v>
      </c>
      <c r="C378" s="18" t="s">
        <v>1731</v>
      </c>
      <c r="D378" s="18" t="s">
        <v>51</v>
      </c>
      <c r="E378" s="18" t="s">
        <v>909</v>
      </c>
      <c r="F378" s="18" t="s">
        <v>909</v>
      </c>
      <c r="G378" s="18" t="s">
        <v>88</v>
      </c>
      <c r="H378" s="18" t="s">
        <v>2033</v>
      </c>
      <c r="I378" s="18" t="s">
        <v>1687</v>
      </c>
      <c r="J378" s="18" t="s">
        <v>171</v>
      </c>
      <c r="K378" s="18" t="s">
        <v>113</v>
      </c>
      <c r="L378" s="18" t="s">
        <v>2034</v>
      </c>
      <c r="M378" s="18" t="s">
        <v>47</v>
      </c>
      <c r="N378" s="18" t="s">
        <v>909</v>
      </c>
      <c r="O378" s="18" t="s">
        <v>938</v>
      </c>
    </row>
    <row r="379" spans="1:15" x14ac:dyDescent="0.3">
      <c r="A379" s="18" t="s">
        <v>677</v>
      </c>
      <c r="B379" s="18" t="s">
        <v>434</v>
      </c>
      <c r="C379" s="18" t="s">
        <v>1282</v>
      </c>
      <c r="D379" s="18" t="s">
        <v>17</v>
      </c>
      <c r="E379" s="18" t="s">
        <v>52</v>
      </c>
      <c r="F379" s="18" t="s">
        <v>87</v>
      </c>
      <c r="G379" s="18" t="s">
        <v>88</v>
      </c>
      <c r="H379" s="18" t="s">
        <v>2035</v>
      </c>
      <c r="I379" s="18" t="s">
        <v>909</v>
      </c>
      <c r="J379" s="18" t="s">
        <v>89</v>
      </c>
      <c r="K379" s="18" t="s">
        <v>92</v>
      </c>
      <c r="L379" s="18" t="s">
        <v>2036</v>
      </c>
      <c r="M379" s="18" t="s">
        <v>1063</v>
      </c>
      <c r="N379" s="18" t="s">
        <v>24</v>
      </c>
      <c r="O379" s="18" t="s">
        <v>41</v>
      </c>
    </row>
    <row r="380" spans="1:15" x14ac:dyDescent="0.3">
      <c r="A380" s="18" t="s">
        <v>678</v>
      </c>
      <c r="B380" s="18" t="s">
        <v>679</v>
      </c>
      <c r="C380" s="18" t="s">
        <v>999</v>
      </c>
      <c r="D380" s="18" t="s">
        <v>51</v>
      </c>
      <c r="E380" s="18" t="s">
        <v>124</v>
      </c>
      <c r="F380" s="18" t="s">
        <v>44</v>
      </c>
      <c r="G380" s="18" t="s">
        <v>45</v>
      </c>
      <c r="H380" s="18" t="s">
        <v>2037</v>
      </c>
      <c r="I380" s="18" t="s">
        <v>909</v>
      </c>
      <c r="J380" s="18" t="s">
        <v>1104</v>
      </c>
      <c r="K380" s="18" t="s">
        <v>46</v>
      </c>
      <c r="L380" s="18" t="s">
        <v>2038</v>
      </c>
      <c r="M380" s="18" t="s">
        <v>72</v>
      </c>
      <c r="N380" s="18" t="s">
        <v>65</v>
      </c>
      <c r="O380" s="18" t="s">
        <v>41</v>
      </c>
    </row>
    <row r="381" spans="1:15" x14ac:dyDescent="0.3">
      <c r="A381" s="18" t="s">
        <v>680</v>
      </c>
      <c r="B381" s="18" t="s">
        <v>512</v>
      </c>
      <c r="C381" s="18" t="s">
        <v>1091</v>
      </c>
      <c r="D381" s="18" t="s">
        <v>17</v>
      </c>
      <c r="E381" s="18" t="s">
        <v>124</v>
      </c>
      <c r="F381" s="18" t="s">
        <v>132</v>
      </c>
      <c r="G381" s="18" t="s">
        <v>223</v>
      </c>
      <c r="H381" s="18" t="s">
        <v>2039</v>
      </c>
      <c r="I381" s="18" t="s">
        <v>2040</v>
      </c>
      <c r="J381" s="18" t="s">
        <v>139</v>
      </c>
      <c r="K381" s="18" t="s">
        <v>140</v>
      </c>
      <c r="L381" s="18" t="s">
        <v>2041</v>
      </c>
      <c r="M381" s="18" t="s">
        <v>72</v>
      </c>
      <c r="N381" s="18" t="s">
        <v>24</v>
      </c>
      <c r="O381" s="18" t="s">
        <v>93</v>
      </c>
    </row>
    <row r="382" spans="1:15" x14ac:dyDescent="0.3">
      <c r="A382" s="18" t="s">
        <v>681</v>
      </c>
      <c r="B382" s="18" t="s">
        <v>2042</v>
      </c>
      <c r="C382" s="18" t="s">
        <v>909</v>
      </c>
      <c r="D382" s="18" t="s">
        <v>17</v>
      </c>
      <c r="E382" s="18" t="s">
        <v>64</v>
      </c>
      <c r="F382" s="18" t="s">
        <v>909</v>
      </c>
      <c r="G382" s="18" t="s">
        <v>195</v>
      </c>
      <c r="H382" s="18" t="s">
        <v>2043</v>
      </c>
      <c r="I382" s="18" t="s">
        <v>2044</v>
      </c>
      <c r="J382" s="18" t="s">
        <v>30</v>
      </c>
      <c r="K382" s="18" t="s">
        <v>31</v>
      </c>
      <c r="L382" s="18" t="s">
        <v>2045</v>
      </c>
      <c r="M382" s="18" t="s">
        <v>23</v>
      </c>
      <c r="N382" s="18" t="s">
        <v>1582</v>
      </c>
      <c r="O382" s="18" t="s">
        <v>93</v>
      </c>
    </row>
    <row r="383" spans="1:15" x14ac:dyDescent="0.3">
      <c r="A383" s="18" t="s">
        <v>682</v>
      </c>
      <c r="B383" s="18" t="s">
        <v>453</v>
      </c>
      <c r="C383" s="18" t="s">
        <v>1170</v>
      </c>
      <c r="D383" s="18" t="s">
        <v>51</v>
      </c>
      <c r="E383" s="18" t="s">
        <v>37</v>
      </c>
      <c r="F383" s="18" t="s">
        <v>87</v>
      </c>
      <c r="G383" s="18" t="s">
        <v>1830</v>
      </c>
      <c r="H383" s="18" t="s">
        <v>1490</v>
      </c>
      <c r="I383" s="18" t="s">
        <v>1537</v>
      </c>
      <c r="J383" s="18" t="s">
        <v>192</v>
      </c>
      <c r="K383" s="18" t="s">
        <v>193</v>
      </c>
      <c r="L383" s="18" t="s">
        <v>2046</v>
      </c>
      <c r="M383" s="18" t="s">
        <v>23</v>
      </c>
      <c r="N383" s="18" t="s">
        <v>48</v>
      </c>
      <c r="O383" s="18" t="s">
        <v>34</v>
      </c>
    </row>
    <row r="384" spans="1:15" x14ac:dyDescent="0.3">
      <c r="A384" s="18" t="s">
        <v>683</v>
      </c>
      <c r="B384" s="18" t="s">
        <v>444</v>
      </c>
      <c r="C384" s="18" t="s">
        <v>2047</v>
      </c>
      <c r="D384" s="18" t="s">
        <v>51</v>
      </c>
      <c r="E384" s="18" t="s">
        <v>1367</v>
      </c>
      <c r="F384" s="18" t="s">
        <v>132</v>
      </c>
      <c r="G384" s="18" t="s">
        <v>138</v>
      </c>
      <c r="H384" s="18" t="s">
        <v>1399</v>
      </c>
      <c r="I384" s="18" t="s">
        <v>2048</v>
      </c>
      <c r="J384" s="18" t="s">
        <v>147</v>
      </c>
      <c r="K384" s="18" t="s">
        <v>148</v>
      </c>
      <c r="L384" s="18" t="s">
        <v>2049</v>
      </c>
      <c r="M384" s="18" t="s">
        <v>99</v>
      </c>
      <c r="N384" s="18" t="s">
        <v>48</v>
      </c>
      <c r="O384" s="18" t="s">
        <v>93</v>
      </c>
    </row>
    <row r="385" spans="1:15" x14ac:dyDescent="0.3">
      <c r="A385" s="18" t="s">
        <v>684</v>
      </c>
      <c r="B385" s="18" t="s">
        <v>609</v>
      </c>
      <c r="C385" s="18" t="s">
        <v>1809</v>
      </c>
      <c r="D385" s="18" t="s">
        <v>17</v>
      </c>
      <c r="E385" s="18" t="s">
        <v>124</v>
      </c>
      <c r="F385" s="18" t="s">
        <v>28</v>
      </c>
      <c r="G385" s="18" t="s">
        <v>101</v>
      </c>
      <c r="H385" s="18" t="s">
        <v>1311</v>
      </c>
      <c r="I385" s="18" t="s">
        <v>2050</v>
      </c>
      <c r="J385" s="18" t="s">
        <v>30</v>
      </c>
      <c r="K385" s="18" t="s">
        <v>31</v>
      </c>
      <c r="L385" s="18" t="s">
        <v>2051</v>
      </c>
      <c r="M385" s="18" t="s">
        <v>32</v>
      </c>
      <c r="N385" s="18" t="s">
        <v>48</v>
      </c>
      <c r="O385" s="18" t="s">
        <v>938</v>
      </c>
    </row>
    <row r="386" spans="1:15" x14ac:dyDescent="0.3">
      <c r="A386" s="18" t="s">
        <v>685</v>
      </c>
      <c r="B386" s="18" t="s">
        <v>686</v>
      </c>
      <c r="C386" s="18" t="s">
        <v>1690</v>
      </c>
      <c r="D386" s="18" t="s">
        <v>51</v>
      </c>
      <c r="E386" s="18" t="s">
        <v>64</v>
      </c>
      <c r="F386" s="18" t="s">
        <v>53</v>
      </c>
      <c r="G386" s="18" t="s">
        <v>69</v>
      </c>
      <c r="H386" s="18" t="s">
        <v>1364</v>
      </c>
      <c r="I386" s="18" t="s">
        <v>2052</v>
      </c>
      <c r="J386" s="18" t="s">
        <v>70</v>
      </c>
      <c r="K386" s="18" t="s">
        <v>71</v>
      </c>
      <c r="L386" s="18" t="s">
        <v>2053</v>
      </c>
      <c r="M386" s="18" t="s">
        <v>60</v>
      </c>
      <c r="N386" s="18" t="s">
        <v>61</v>
      </c>
      <c r="O386" s="18" t="s">
        <v>938</v>
      </c>
    </row>
    <row r="387" spans="1:15" x14ac:dyDescent="0.3">
      <c r="A387" s="18" t="s">
        <v>687</v>
      </c>
      <c r="B387" s="18" t="s">
        <v>688</v>
      </c>
      <c r="C387" s="18" t="s">
        <v>1175</v>
      </c>
      <c r="D387" s="18" t="s">
        <v>51</v>
      </c>
      <c r="E387" s="18" t="s">
        <v>124</v>
      </c>
      <c r="F387" s="18" t="s">
        <v>132</v>
      </c>
      <c r="G387" s="18" t="s">
        <v>223</v>
      </c>
      <c r="H387" s="18" t="s">
        <v>2054</v>
      </c>
      <c r="I387" s="18" t="s">
        <v>2055</v>
      </c>
      <c r="J387" s="18" t="s">
        <v>147</v>
      </c>
      <c r="K387" s="18" t="s">
        <v>148</v>
      </c>
      <c r="L387" s="18" t="s">
        <v>2056</v>
      </c>
      <c r="M387" s="18" t="s">
        <v>40</v>
      </c>
      <c r="N387" s="18" t="s">
        <v>61</v>
      </c>
      <c r="O387" s="18" t="s">
        <v>34</v>
      </c>
    </row>
    <row r="388" spans="1:15" x14ac:dyDescent="0.3">
      <c r="A388" s="18" t="s">
        <v>689</v>
      </c>
      <c r="B388" s="18" t="s">
        <v>690</v>
      </c>
      <c r="C388" s="18" t="s">
        <v>1091</v>
      </c>
      <c r="D388" s="18" t="s">
        <v>17</v>
      </c>
      <c r="E388" s="18" t="s">
        <v>124</v>
      </c>
      <c r="F388" s="18" t="s">
        <v>53</v>
      </c>
      <c r="G388" s="18" t="s">
        <v>909</v>
      </c>
      <c r="H388" s="18" t="s">
        <v>1677</v>
      </c>
      <c r="I388" s="18" t="s">
        <v>2057</v>
      </c>
      <c r="J388" s="18" t="s">
        <v>107</v>
      </c>
      <c r="K388" s="18" t="s">
        <v>108</v>
      </c>
      <c r="L388" s="18" t="s">
        <v>2058</v>
      </c>
      <c r="M388" s="18" t="s">
        <v>47</v>
      </c>
      <c r="N388" s="18" t="s">
        <v>61</v>
      </c>
      <c r="O388" s="18" t="s">
        <v>938</v>
      </c>
    </row>
    <row r="389" spans="1:15" x14ac:dyDescent="0.3">
      <c r="A389" s="18" t="s">
        <v>691</v>
      </c>
      <c r="B389" s="18" t="s">
        <v>2059</v>
      </c>
      <c r="C389" s="18" t="s">
        <v>1091</v>
      </c>
      <c r="D389" s="18" t="s">
        <v>17</v>
      </c>
      <c r="E389" s="18" t="s">
        <v>52</v>
      </c>
      <c r="F389" s="18" t="s">
        <v>38</v>
      </c>
      <c r="G389" s="18" t="s">
        <v>167</v>
      </c>
      <c r="H389" s="18" t="s">
        <v>2060</v>
      </c>
      <c r="I389" s="18" t="s">
        <v>2061</v>
      </c>
      <c r="J389" s="18" t="s">
        <v>97</v>
      </c>
      <c r="K389" s="18" t="s">
        <v>98</v>
      </c>
      <c r="L389" s="18" t="s">
        <v>2062</v>
      </c>
      <c r="M389" s="18" t="s">
        <v>40</v>
      </c>
      <c r="N389" s="18" t="s">
        <v>61</v>
      </c>
      <c r="O389" s="18" t="s">
        <v>938</v>
      </c>
    </row>
    <row r="390" spans="1:15" x14ac:dyDescent="0.3">
      <c r="A390" s="18" t="s">
        <v>692</v>
      </c>
      <c r="B390" s="18" t="s">
        <v>2063</v>
      </c>
      <c r="C390" s="18" t="s">
        <v>1427</v>
      </c>
      <c r="D390" s="18" t="s">
        <v>51</v>
      </c>
      <c r="E390" s="18" t="s">
        <v>37</v>
      </c>
      <c r="F390" s="18" t="s">
        <v>19</v>
      </c>
      <c r="G390" s="18" t="s">
        <v>105</v>
      </c>
      <c r="H390" s="18" t="s">
        <v>2064</v>
      </c>
      <c r="I390" s="18" t="s">
        <v>1977</v>
      </c>
      <c r="J390" s="18" t="s">
        <v>21</v>
      </c>
      <c r="K390" s="18" t="s">
        <v>909</v>
      </c>
      <c r="L390" s="18" t="s">
        <v>2065</v>
      </c>
      <c r="M390" s="18" t="s">
        <v>909</v>
      </c>
      <c r="N390" s="18" t="s">
        <v>65</v>
      </c>
      <c r="O390" s="18" t="s">
        <v>909</v>
      </c>
    </row>
    <row r="391" spans="1:15" x14ac:dyDescent="0.3">
      <c r="A391" s="18" t="s">
        <v>693</v>
      </c>
      <c r="B391" s="18" t="s">
        <v>228</v>
      </c>
      <c r="C391" s="18" t="s">
        <v>913</v>
      </c>
      <c r="D391" s="18" t="s">
        <v>51</v>
      </c>
      <c r="E391" s="18" t="s">
        <v>68</v>
      </c>
      <c r="F391" s="18" t="s">
        <v>44</v>
      </c>
      <c r="G391" s="18" t="s">
        <v>153</v>
      </c>
      <c r="H391" s="18" t="s">
        <v>2066</v>
      </c>
      <c r="I391" s="18" t="s">
        <v>909</v>
      </c>
      <c r="J391" s="18" t="s">
        <v>232</v>
      </c>
      <c r="K391" s="18" t="s">
        <v>160</v>
      </c>
      <c r="L391" s="18" t="s">
        <v>2067</v>
      </c>
      <c r="M391" s="18" t="s">
        <v>60</v>
      </c>
      <c r="N391" s="18" t="s">
        <v>48</v>
      </c>
      <c r="O391" s="18" t="s">
        <v>41</v>
      </c>
    </row>
    <row r="392" spans="1:15" x14ac:dyDescent="0.3">
      <c r="A392" s="18" t="s">
        <v>694</v>
      </c>
      <c r="B392" s="18" t="s">
        <v>83</v>
      </c>
      <c r="C392" s="18" t="s">
        <v>1383</v>
      </c>
      <c r="D392" s="18" t="s">
        <v>17</v>
      </c>
      <c r="E392" s="18" t="s">
        <v>124</v>
      </c>
      <c r="F392" s="18" t="s">
        <v>87</v>
      </c>
      <c r="G392" s="18" t="s">
        <v>324</v>
      </c>
      <c r="H392" s="18" t="s">
        <v>1372</v>
      </c>
      <c r="I392" s="18" t="s">
        <v>2068</v>
      </c>
      <c r="J392" s="18" t="s">
        <v>192</v>
      </c>
      <c r="K392" s="18" t="s">
        <v>193</v>
      </c>
      <c r="L392" s="18" t="s">
        <v>2069</v>
      </c>
      <c r="M392" s="18" t="s">
        <v>72</v>
      </c>
      <c r="N392" s="18" t="s">
        <v>33</v>
      </c>
      <c r="O392" s="18" t="s">
        <v>938</v>
      </c>
    </row>
    <row r="393" spans="1:15" x14ac:dyDescent="0.3">
      <c r="A393" s="18" t="s">
        <v>695</v>
      </c>
      <c r="B393" s="18" t="s">
        <v>2070</v>
      </c>
      <c r="C393" s="18" t="s">
        <v>1452</v>
      </c>
      <c r="D393" s="18" t="s">
        <v>51</v>
      </c>
      <c r="E393" s="18" t="s">
        <v>18</v>
      </c>
      <c r="F393" s="18" t="s">
        <v>38</v>
      </c>
      <c r="G393" s="18" t="s">
        <v>125</v>
      </c>
      <c r="H393" s="18" t="s">
        <v>2071</v>
      </c>
      <c r="I393" s="18" t="s">
        <v>2072</v>
      </c>
      <c r="J393" s="18" t="s">
        <v>97</v>
      </c>
      <c r="K393" s="18" t="s">
        <v>2073</v>
      </c>
      <c r="L393" s="18" t="s">
        <v>2074</v>
      </c>
      <c r="M393" s="18" t="s">
        <v>47</v>
      </c>
      <c r="N393" s="18" t="s">
        <v>48</v>
      </c>
      <c r="O393" s="18" t="s">
        <v>938</v>
      </c>
    </row>
    <row r="394" spans="1:15" x14ac:dyDescent="0.3">
      <c r="A394" s="18" t="s">
        <v>696</v>
      </c>
      <c r="B394" s="18" t="s">
        <v>2075</v>
      </c>
      <c r="C394" s="18" t="s">
        <v>1066</v>
      </c>
      <c r="D394" s="18" t="s">
        <v>51</v>
      </c>
      <c r="E394" s="18" t="s">
        <v>111</v>
      </c>
      <c r="F394" s="18" t="s">
        <v>19</v>
      </c>
      <c r="G394" s="18" t="s">
        <v>105</v>
      </c>
      <c r="H394" s="18" t="s">
        <v>2076</v>
      </c>
      <c r="I394" s="18" t="s">
        <v>1647</v>
      </c>
      <c r="J394" s="18" t="s">
        <v>21</v>
      </c>
      <c r="K394" s="18" t="s">
        <v>22</v>
      </c>
      <c r="L394" s="18" t="s">
        <v>2077</v>
      </c>
      <c r="M394" s="18" t="s">
        <v>909</v>
      </c>
      <c r="N394" s="18" t="s">
        <v>48</v>
      </c>
      <c r="O394" s="18" t="s">
        <v>25</v>
      </c>
    </row>
    <row r="395" spans="1:15" x14ac:dyDescent="0.3">
      <c r="A395" s="18" t="s">
        <v>697</v>
      </c>
      <c r="B395" s="18" t="s">
        <v>273</v>
      </c>
      <c r="C395" s="18" t="s">
        <v>1047</v>
      </c>
      <c r="D395" s="18" t="s">
        <v>1142</v>
      </c>
      <c r="E395" s="18" t="s">
        <v>1953</v>
      </c>
      <c r="F395" s="18" t="s">
        <v>38</v>
      </c>
      <c r="G395" s="18" t="s">
        <v>125</v>
      </c>
      <c r="H395" s="18" t="s">
        <v>2078</v>
      </c>
      <c r="I395" s="18" t="s">
        <v>2079</v>
      </c>
      <c r="J395" s="18" t="s">
        <v>916</v>
      </c>
      <c r="K395" s="18" t="s">
        <v>39</v>
      </c>
      <c r="L395" s="18" t="s">
        <v>2080</v>
      </c>
      <c r="M395" s="18" t="s">
        <v>23</v>
      </c>
      <c r="N395" s="18" t="s">
        <v>61</v>
      </c>
      <c r="O395" s="18" t="s">
        <v>938</v>
      </c>
    </row>
    <row r="396" spans="1:15" x14ac:dyDescent="0.3">
      <c r="A396" s="18" t="s">
        <v>698</v>
      </c>
      <c r="B396" s="18" t="s">
        <v>246</v>
      </c>
      <c r="C396" s="18" t="s">
        <v>1271</v>
      </c>
      <c r="D396" s="18" t="s">
        <v>51</v>
      </c>
      <c r="E396" s="18" t="s">
        <v>84</v>
      </c>
      <c r="F396" s="18" t="s">
        <v>87</v>
      </c>
      <c r="G396" s="18" t="s">
        <v>88</v>
      </c>
      <c r="H396" s="18" t="s">
        <v>2081</v>
      </c>
      <c r="I396" s="18" t="s">
        <v>2082</v>
      </c>
      <c r="J396" s="18" t="s">
        <v>89</v>
      </c>
      <c r="K396" s="18" t="s">
        <v>92</v>
      </c>
      <c r="L396" s="18" t="s">
        <v>2083</v>
      </c>
      <c r="M396" s="18" t="s">
        <v>32</v>
      </c>
      <c r="N396" s="18" t="s">
        <v>33</v>
      </c>
      <c r="O396" s="18" t="s">
        <v>25</v>
      </c>
    </row>
    <row r="397" spans="1:15" x14ac:dyDescent="0.3">
      <c r="A397" s="18" t="s">
        <v>699</v>
      </c>
      <c r="B397" s="18" t="s">
        <v>430</v>
      </c>
      <c r="C397" s="18" t="s">
        <v>1132</v>
      </c>
      <c r="D397" s="18" t="s">
        <v>17</v>
      </c>
      <c r="E397" s="18" t="s">
        <v>64</v>
      </c>
      <c r="F397" s="18" t="s">
        <v>53</v>
      </c>
      <c r="G397" s="18" t="s">
        <v>143</v>
      </c>
      <c r="H397" s="18" t="s">
        <v>2084</v>
      </c>
      <c r="I397" s="18" t="s">
        <v>909</v>
      </c>
      <c r="J397" s="18" t="s">
        <v>70</v>
      </c>
      <c r="K397" s="18" t="s">
        <v>71</v>
      </c>
      <c r="L397" s="18" t="s">
        <v>2085</v>
      </c>
      <c r="M397" s="18" t="s">
        <v>72</v>
      </c>
      <c r="N397" s="18" t="s">
        <v>65</v>
      </c>
      <c r="O397" s="18" t="s">
        <v>909</v>
      </c>
    </row>
    <row r="398" spans="1:15" x14ac:dyDescent="0.3">
      <c r="A398" s="18" t="s">
        <v>700</v>
      </c>
      <c r="B398" s="18" t="s">
        <v>131</v>
      </c>
      <c r="C398" s="18" t="s">
        <v>992</v>
      </c>
      <c r="D398" s="18" t="s">
        <v>51</v>
      </c>
      <c r="E398" s="18" t="s">
        <v>84</v>
      </c>
      <c r="F398" s="18" t="s">
        <v>87</v>
      </c>
      <c r="G398" s="18" t="s">
        <v>324</v>
      </c>
      <c r="H398" s="18" t="s">
        <v>1312</v>
      </c>
      <c r="I398" s="18" t="s">
        <v>2086</v>
      </c>
      <c r="J398" s="18" t="s">
        <v>216</v>
      </c>
      <c r="K398" s="18" t="s">
        <v>1201</v>
      </c>
      <c r="L398" s="18" t="s">
        <v>2087</v>
      </c>
      <c r="M398" s="18" t="s">
        <v>99</v>
      </c>
      <c r="N398" s="18" t="s">
        <v>24</v>
      </c>
      <c r="O398" s="18" t="s">
        <v>34</v>
      </c>
    </row>
    <row r="399" spans="1:15" x14ac:dyDescent="0.3">
      <c r="A399" s="18" t="s">
        <v>701</v>
      </c>
      <c r="B399" s="18" t="s">
        <v>702</v>
      </c>
      <c r="C399" s="18" t="s">
        <v>1079</v>
      </c>
      <c r="D399" s="18" t="s">
        <v>920</v>
      </c>
      <c r="E399" s="18" t="s">
        <v>37</v>
      </c>
      <c r="F399" s="18" t="s">
        <v>132</v>
      </c>
      <c r="G399" s="18" t="s">
        <v>223</v>
      </c>
      <c r="H399" s="18" t="s">
        <v>2088</v>
      </c>
      <c r="I399" s="18" t="s">
        <v>2089</v>
      </c>
      <c r="J399" s="18" t="s">
        <v>147</v>
      </c>
      <c r="K399" s="18" t="s">
        <v>148</v>
      </c>
      <c r="L399" s="18" t="s">
        <v>2090</v>
      </c>
      <c r="M399" s="18" t="s">
        <v>60</v>
      </c>
      <c r="N399" s="18" t="s">
        <v>909</v>
      </c>
      <c r="O399" s="18" t="s">
        <v>938</v>
      </c>
    </row>
    <row r="400" spans="1:15" x14ac:dyDescent="0.3">
      <c r="A400" s="18" t="s">
        <v>703</v>
      </c>
      <c r="B400" s="18" t="s">
        <v>370</v>
      </c>
      <c r="C400" s="18" t="s">
        <v>1033</v>
      </c>
      <c r="D400" s="18" t="s">
        <v>1204</v>
      </c>
      <c r="E400" s="18" t="s">
        <v>84</v>
      </c>
      <c r="F400" s="18" t="s">
        <v>44</v>
      </c>
      <c r="G400" s="18" t="s">
        <v>221</v>
      </c>
      <c r="H400" s="18" t="s">
        <v>1280</v>
      </c>
      <c r="I400" s="18" t="s">
        <v>2091</v>
      </c>
      <c r="J400" s="18" t="s">
        <v>154</v>
      </c>
      <c r="K400" s="18" t="s">
        <v>155</v>
      </c>
      <c r="L400" s="18" t="s">
        <v>2092</v>
      </c>
      <c r="M400" s="18" t="s">
        <v>72</v>
      </c>
      <c r="N400" s="18" t="s">
        <v>61</v>
      </c>
      <c r="O400" s="18" t="s">
        <v>1583</v>
      </c>
    </row>
    <row r="401" spans="1:15" x14ac:dyDescent="0.3">
      <c r="A401" s="18" t="s">
        <v>704</v>
      </c>
      <c r="B401" s="18" t="s">
        <v>705</v>
      </c>
      <c r="C401" s="18" t="s">
        <v>1282</v>
      </c>
      <c r="D401" s="18" t="s">
        <v>908</v>
      </c>
      <c r="E401" s="18" t="s">
        <v>18</v>
      </c>
      <c r="F401" s="18" t="s">
        <v>53</v>
      </c>
      <c r="G401" s="18" t="s">
        <v>143</v>
      </c>
      <c r="H401" s="18" t="s">
        <v>2093</v>
      </c>
      <c r="I401" s="18" t="s">
        <v>2094</v>
      </c>
      <c r="J401" s="18" t="s">
        <v>200</v>
      </c>
      <c r="K401" s="18" t="s">
        <v>201</v>
      </c>
      <c r="L401" s="18" t="s">
        <v>2095</v>
      </c>
      <c r="M401" s="18" t="s">
        <v>23</v>
      </c>
      <c r="N401" s="18" t="s">
        <v>909</v>
      </c>
      <c r="O401" s="18" t="s">
        <v>25</v>
      </c>
    </row>
    <row r="402" spans="1:15" x14ac:dyDescent="0.3">
      <c r="A402" s="18" t="s">
        <v>706</v>
      </c>
      <c r="B402" s="18" t="s">
        <v>379</v>
      </c>
      <c r="C402" s="18" t="s">
        <v>961</v>
      </c>
      <c r="D402" s="18" t="s">
        <v>51</v>
      </c>
      <c r="E402" s="18" t="s">
        <v>86</v>
      </c>
      <c r="F402" s="18" t="s">
        <v>87</v>
      </c>
      <c r="G402" s="18" t="s">
        <v>112</v>
      </c>
      <c r="H402" s="18" t="s">
        <v>1172</v>
      </c>
      <c r="I402" s="18" t="s">
        <v>2096</v>
      </c>
      <c r="J402" s="18" t="s">
        <v>171</v>
      </c>
      <c r="K402" s="18" t="s">
        <v>113</v>
      </c>
      <c r="L402" s="18" t="s">
        <v>2097</v>
      </c>
      <c r="M402" s="18" t="s">
        <v>23</v>
      </c>
      <c r="N402" s="18" t="s">
        <v>24</v>
      </c>
      <c r="O402" s="18" t="s">
        <v>34</v>
      </c>
    </row>
    <row r="403" spans="1:15" x14ac:dyDescent="0.3">
      <c r="A403" s="18" t="s">
        <v>2098</v>
      </c>
      <c r="B403" s="18" t="s">
        <v>702</v>
      </c>
      <c r="C403" s="18" t="s">
        <v>1164</v>
      </c>
      <c r="D403" s="18" t="s">
        <v>51</v>
      </c>
      <c r="E403" s="18" t="s">
        <v>1415</v>
      </c>
      <c r="F403" s="18" t="s">
        <v>28</v>
      </c>
      <c r="G403" s="18" t="s">
        <v>195</v>
      </c>
      <c r="H403" s="18" t="s">
        <v>1121</v>
      </c>
      <c r="I403" s="18" t="s">
        <v>2099</v>
      </c>
      <c r="J403" s="18" t="s">
        <v>2100</v>
      </c>
      <c r="K403" s="18" t="s">
        <v>1077</v>
      </c>
      <c r="L403" s="18" t="s">
        <v>2101</v>
      </c>
      <c r="M403" s="18" t="s">
        <v>72</v>
      </c>
      <c r="N403" s="18" t="s">
        <v>24</v>
      </c>
      <c r="O403" s="18" t="s">
        <v>938</v>
      </c>
    </row>
    <row r="404" spans="1:15" x14ac:dyDescent="0.3">
      <c r="A404" s="18" t="s">
        <v>707</v>
      </c>
      <c r="B404" s="18" t="s">
        <v>708</v>
      </c>
      <c r="C404" s="18" t="s">
        <v>1774</v>
      </c>
      <c r="D404" s="18" t="s">
        <v>17</v>
      </c>
      <c r="E404" s="18" t="s">
        <v>37</v>
      </c>
      <c r="F404" s="18" t="s">
        <v>38</v>
      </c>
      <c r="G404" s="18" t="s">
        <v>167</v>
      </c>
      <c r="H404" s="18" t="s">
        <v>1098</v>
      </c>
      <c r="I404" s="18" t="s">
        <v>2102</v>
      </c>
      <c r="J404" s="18" t="s">
        <v>97</v>
      </c>
      <c r="K404" s="18" t="s">
        <v>98</v>
      </c>
      <c r="L404" s="18" t="s">
        <v>2103</v>
      </c>
      <c r="M404" s="18" t="s">
        <v>60</v>
      </c>
      <c r="N404" s="18" t="s">
        <v>48</v>
      </c>
      <c r="O404" s="18" t="s">
        <v>34</v>
      </c>
    </row>
    <row r="405" spans="1:15" x14ac:dyDescent="0.3">
      <c r="A405" s="18" t="s">
        <v>2104</v>
      </c>
      <c r="B405" s="18" t="s">
        <v>545</v>
      </c>
      <c r="C405" s="18" t="s">
        <v>1464</v>
      </c>
      <c r="D405" s="18" t="s">
        <v>51</v>
      </c>
      <c r="E405" s="18" t="s">
        <v>37</v>
      </c>
      <c r="F405" s="18" t="s">
        <v>132</v>
      </c>
      <c r="G405" s="18" t="s">
        <v>133</v>
      </c>
      <c r="H405" s="18" t="s">
        <v>1820</v>
      </c>
      <c r="I405" s="18" t="s">
        <v>909</v>
      </c>
      <c r="J405" s="18" t="s">
        <v>173</v>
      </c>
      <c r="K405" s="18" t="s">
        <v>174</v>
      </c>
      <c r="L405" s="18" t="s">
        <v>2105</v>
      </c>
      <c r="M405" s="18" t="s">
        <v>23</v>
      </c>
      <c r="N405" s="18" t="s">
        <v>24</v>
      </c>
      <c r="O405" s="18" t="s">
        <v>41</v>
      </c>
    </row>
    <row r="406" spans="1:15" x14ac:dyDescent="0.3">
      <c r="A406" s="18" t="s">
        <v>709</v>
      </c>
      <c r="B406" s="18" t="s">
        <v>243</v>
      </c>
      <c r="C406" s="18" t="s">
        <v>1722</v>
      </c>
      <c r="D406" s="18" t="s">
        <v>51</v>
      </c>
      <c r="E406" s="18" t="s">
        <v>86</v>
      </c>
      <c r="F406" s="18" t="s">
        <v>19</v>
      </c>
      <c r="G406" s="18" t="s">
        <v>909</v>
      </c>
      <c r="H406" s="18" t="s">
        <v>909</v>
      </c>
      <c r="I406" s="18" t="s">
        <v>2106</v>
      </c>
      <c r="J406" s="18" t="s">
        <v>21</v>
      </c>
      <c r="K406" s="18" t="s">
        <v>22</v>
      </c>
      <c r="L406" s="18" t="s">
        <v>2107</v>
      </c>
      <c r="M406" s="18" t="s">
        <v>1063</v>
      </c>
      <c r="N406" s="18" t="s">
        <v>65</v>
      </c>
      <c r="O406" s="18" t="s">
        <v>93</v>
      </c>
    </row>
    <row r="407" spans="1:15" x14ac:dyDescent="0.3">
      <c r="A407" s="18" t="s">
        <v>710</v>
      </c>
      <c r="B407" s="18" t="s">
        <v>353</v>
      </c>
      <c r="C407" s="18" t="s">
        <v>956</v>
      </c>
      <c r="D407" s="18" t="s">
        <v>17</v>
      </c>
      <c r="E407" s="18" t="s">
        <v>43</v>
      </c>
      <c r="F407" s="18" t="s">
        <v>53</v>
      </c>
      <c r="G407" s="18" t="s">
        <v>69</v>
      </c>
      <c r="H407" s="18" t="s">
        <v>2108</v>
      </c>
      <c r="I407" s="18" t="s">
        <v>2109</v>
      </c>
      <c r="J407" s="18" t="s">
        <v>55</v>
      </c>
      <c r="K407" s="18" t="s">
        <v>56</v>
      </c>
      <c r="L407" s="18" t="s">
        <v>2110</v>
      </c>
      <c r="M407" s="18" t="s">
        <v>60</v>
      </c>
      <c r="N407" s="18" t="s">
        <v>61</v>
      </c>
      <c r="O407" s="18" t="s">
        <v>25</v>
      </c>
    </row>
    <row r="408" spans="1:15" x14ac:dyDescent="0.3">
      <c r="A408" s="18" t="s">
        <v>711</v>
      </c>
      <c r="B408" s="18" t="s">
        <v>248</v>
      </c>
      <c r="C408" s="18" t="s">
        <v>1457</v>
      </c>
      <c r="D408" s="18" t="s">
        <v>17</v>
      </c>
      <c r="E408" s="18" t="s">
        <v>37</v>
      </c>
      <c r="F408" s="18" t="s">
        <v>19</v>
      </c>
      <c r="G408" s="18" t="s">
        <v>20</v>
      </c>
      <c r="H408" s="18" t="s">
        <v>2111</v>
      </c>
      <c r="I408" s="18" t="s">
        <v>2112</v>
      </c>
      <c r="J408" s="18" t="s">
        <v>267</v>
      </c>
      <c r="K408" s="18" t="s">
        <v>268</v>
      </c>
      <c r="L408" s="18" t="s">
        <v>2113</v>
      </c>
      <c r="M408" s="18" t="s">
        <v>60</v>
      </c>
      <c r="N408" s="18" t="s">
        <v>33</v>
      </c>
      <c r="O408" s="18" t="s">
        <v>34</v>
      </c>
    </row>
    <row r="409" spans="1:15" x14ac:dyDescent="0.3">
      <c r="A409" s="18" t="s">
        <v>712</v>
      </c>
      <c r="B409" s="18" t="s">
        <v>2114</v>
      </c>
      <c r="C409" s="18" t="s">
        <v>1248</v>
      </c>
      <c r="D409" s="18" t="s">
        <v>17</v>
      </c>
      <c r="E409" s="18" t="s">
        <v>52</v>
      </c>
      <c r="F409" s="18" t="s">
        <v>132</v>
      </c>
      <c r="G409" s="18" t="s">
        <v>2115</v>
      </c>
      <c r="H409" s="18" t="s">
        <v>1336</v>
      </c>
      <c r="I409" s="18" t="s">
        <v>909</v>
      </c>
      <c r="J409" s="18" t="s">
        <v>147</v>
      </c>
      <c r="K409" s="18" t="s">
        <v>148</v>
      </c>
      <c r="L409" s="18" t="s">
        <v>2116</v>
      </c>
      <c r="M409" s="18" t="s">
        <v>72</v>
      </c>
      <c r="N409" s="18" t="s">
        <v>65</v>
      </c>
      <c r="O409" s="18" t="s">
        <v>41</v>
      </c>
    </row>
    <row r="410" spans="1:15" x14ac:dyDescent="0.3">
      <c r="A410" s="18" t="s">
        <v>713</v>
      </c>
      <c r="B410" s="18" t="s">
        <v>714</v>
      </c>
      <c r="C410" s="18" t="s">
        <v>992</v>
      </c>
      <c r="D410" s="18" t="s">
        <v>17</v>
      </c>
      <c r="E410" s="18" t="s">
        <v>84</v>
      </c>
      <c r="F410" s="18" t="s">
        <v>19</v>
      </c>
      <c r="G410" s="18" t="s">
        <v>158</v>
      </c>
      <c r="H410" s="18" t="s">
        <v>2117</v>
      </c>
      <c r="I410" s="18" t="s">
        <v>1991</v>
      </c>
      <c r="J410" s="18" t="s">
        <v>21</v>
      </c>
      <c r="K410" s="18" t="s">
        <v>22</v>
      </c>
      <c r="L410" s="18" t="s">
        <v>2118</v>
      </c>
      <c r="M410" s="18" t="s">
        <v>60</v>
      </c>
      <c r="N410" s="18" t="s">
        <v>33</v>
      </c>
      <c r="O410" s="18" t="s">
        <v>909</v>
      </c>
    </row>
    <row r="411" spans="1:15" x14ac:dyDescent="0.3">
      <c r="A411" s="18" t="s">
        <v>715</v>
      </c>
      <c r="B411" s="18" t="s">
        <v>407</v>
      </c>
      <c r="C411" s="18" t="s">
        <v>1053</v>
      </c>
      <c r="D411" s="18" t="s">
        <v>17</v>
      </c>
      <c r="E411" s="18" t="s">
        <v>64</v>
      </c>
      <c r="F411" s="18" t="s">
        <v>28</v>
      </c>
      <c r="G411" s="18" t="s">
        <v>101</v>
      </c>
      <c r="H411" s="18" t="s">
        <v>1404</v>
      </c>
      <c r="I411" s="18" t="s">
        <v>909</v>
      </c>
      <c r="J411" s="18" t="s">
        <v>30</v>
      </c>
      <c r="K411" s="18" t="s">
        <v>31</v>
      </c>
      <c r="L411" s="18" t="s">
        <v>2119</v>
      </c>
      <c r="M411" s="18" t="s">
        <v>47</v>
      </c>
      <c r="N411" s="18" t="s">
        <v>61</v>
      </c>
      <c r="O411" s="18" t="s">
        <v>41</v>
      </c>
    </row>
    <row r="412" spans="1:15" x14ac:dyDescent="0.3">
      <c r="A412" s="18" t="s">
        <v>716</v>
      </c>
      <c r="B412" s="18" t="s">
        <v>909</v>
      </c>
      <c r="C412" s="18" t="s">
        <v>1427</v>
      </c>
      <c r="D412" s="18" t="s">
        <v>51</v>
      </c>
      <c r="E412" s="18" t="s">
        <v>84</v>
      </c>
      <c r="F412" s="18" t="s">
        <v>28</v>
      </c>
      <c r="G412" s="18" t="s">
        <v>29</v>
      </c>
      <c r="H412" s="18" t="s">
        <v>1823</v>
      </c>
      <c r="I412" s="18" t="s">
        <v>909</v>
      </c>
      <c r="J412" s="18" t="s">
        <v>30</v>
      </c>
      <c r="K412" s="18" t="s">
        <v>31</v>
      </c>
      <c r="L412" s="18" t="s">
        <v>2120</v>
      </c>
      <c r="M412" s="18" t="s">
        <v>60</v>
      </c>
      <c r="N412" s="18" t="s">
        <v>65</v>
      </c>
      <c r="O412" s="18" t="s">
        <v>41</v>
      </c>
    </row>
    <row r="413" spans="1:15" x14ac:dyDescent="0.3">
      <c r="A413" s="18" t="s">
        <v>717</v>
      </c>
      <c r="B413" s="18" t="s">
        <v>718</v>
      </c>
      <c r="C413" s="18" t="s">
        <v>1203</v>
      </c>
      <c r="D413" s="18" t="s">
        <v>51</v>
      </c>
      <c r="E413" s="18" t="s">
        <v>124</v>
      </c>
      <c r="F413" s="18" t="s">
        <v>38</v>
      </c>
      <c r="G413" s="18" t="s">
        <v>167</v>
      </c>
      <c r="H413" s="18" t="s">
        <v>2121</v>
      </c>
      <c r="I413" s="18" t="s">
        <v>1255</v>
      </c>
      <c r="J413" s="18" t="s">
        <v>97</v>
      </c>
      <c r="K413" s="18" t="s">
        <v>98</v>
      </c>
      <c r="L413" s="18" t="s">
        <v>909</v>
      </c>
      <c r="M413" s="18" t="s">
        <v>32</v>
      </c>
      <c r="N413" s="18" t="s">
        <v>909</v>
      </c>
      <c r="O413" s="18" t="s">
        <v>25</v>
      </c>
    </row>
    <row r="414" spans="1:15" x14ac:dyDescent="0.3">
      <c r="A414" s="18" t="s">
        <v>719</v>
      </c>
      <c r="B414" s="18" t="s">
        <v>2122</v>
      </c>
      <c r="C414" s="18" t="s">
        <v>1107</v>
      </c>
      <c r="D414" s="18" t="s">
        <v>51</v>
      </c>
      <c r="E414" s="18" t="s">
        <v>18</v>
      </c>
      <c r="F414" s="18" t="s">
        <v>28</v>
      </c>
      <c r="G414" s="18" t="s">
        <v>29</v>
      </c>
      <c r="H414" s="18" t="s">
        <v>909</v>
      </c>
      <c r="I414" s="18" t="s">
        <v>909</v>
      </c>
      <c r="J414" s="18" t="s">
        <v>30</v>
      </c>
      <c r="K414" s="18" t="s">
        <v>31</v>
      </c>
      <c r="L414" s="18" t="s">
        <v>2123</v>
      </c>
      <c r="M414" s="18" t="s">
        <v>99</v>
      </c>
      <c r="N414" s="18" t="s">
        <v>65</v>
      </c>
      <c r="O414" s="18" t="s">
        <v>41</v>
      </c>
    </row>
    <row r="415" spans="1:15" x14ac:dyDescent="0.3">
      <c r="A415" s="18" t="s">
        <v>720</v>
      </c>
      <c r="B415" s="18" t="s">
        <v>909</v>
      </c>
      <c r="C415" s="18" t="s">
        <v>2124</v>
      </c>
      <c r="D415" s="18" t="s">
        <v>908</v>
      </c>
      <c r="E415" s="18" t="s">
        <v>1651</v>
      </c>
      <c r="F415" s="18" t="s">
        <v>87</v>
      </c>
      <c r="G415" s="18" t="s">
        <v>112</v>
      </c>
      <c r="H415" s="18" t="s">
        <v>2125</v>
      </c>
      <c r="I415" s="18" t="s">
        <v>909</v>
      </c>
      <c r="J415" s="18" t="s">
        <v>192</v>
      </c>
      <c r="K415" s="18" t="s">
        <v>193</v>
      </c>
      <c r="L415" s="18" t="s">
        <v>2126</v>
      </c>
      <c r="M415" s="18" t="s">
        <v>32</v>
      </c>
      <c r="N415" s="18" t="s">
        <v>24</v>
      </c>
      <c r="O415" s="18" t="s">
        <v>41</v>
      </c>
    </row>
    <row r="416" spans="1:15" x14ac:dyDescent="0.3">
      <c r="A416" s="18" t="s">
        <v>721</v>
      </c>
      <c r="B416" s="18" t="s">
        <v>213</v>
      </c>
      <c r="C416" s="18" t="s">
        <v>1574</v>
      </c>
      <c r="D416" s="18" t="s">
        <v>17</v>
      </c>
      <c r="E416" s="18" t="s">
        <v>86</v>
      </c>
      <c r="F416" s="18" t="s">
        <v>38</v>
      </c>
      <c r="G416" s="18" t="s">
        <v>167</v>
      </c>
      <c r="H416" s="18" t="s">
        <v>1311</v>
      </c>
      <c r="I416" s="18" t="s">
        <v>1882</v>
      </c>
      <c r="J416" s="18" t="s">
        <v>80</v>
      </c>
      <c r="K416" s="18" t="s">
        <v>81</v>
      </c>
      <c r="L416" s="18" t="s">
        <v>2127</v>
      </c>
      <c r="M416" s="18" t="s">
        <v>60</v>
      </c>
      <c r="N416" s="18" t="s">
        <v>942</v>
      </c>
      <c r="O416" s="18" t="s">
        <v>25</v>
      </c>
    </row>
    <row r="417" spans="1:15" x14ac:dyDescent="0.3">
      <c r="A417" s="18" t="s">
        <v>722</v>
      </c>
      <c r="B417" s="18" t="s">
        <v>234</v>
      </c>
      <c r="C417" s="18" t="s">
        <v>1033</v>
      </c>
      <c r="D417" s="18" t="s">
        <v>51</v>
      </c>
      <c r="E417" s="18" t="s">
        <v>1953</v>
      </c>
      <c r="F417" s="18" t="s">
        <v>53</v>
      </c>
      <c r="G417" s="18" t="s">
        <v>69</v>
      </c>
      <c r="H417" s="18" t="s">
        <v>2128</v>
      </c>
      <c r="I417" s="18" t="s">
        <v>2009</v>
      </c>
      <c r="J417" s="18" t="s">
        <v>909</v>
      </c>
      <c r="K417" s="18" t="s">
        <v>71</v>
      </c>
      <c r="L417" s="18" t="s">
        <v>2129</v>
      </c>
      <c r="M417" s="18" t="s">
        <v>47</v>
      </c>
      <c r="N417" s="18" t="s">
        <v>33</v>
      </c>
      <c r="O417" s="18" t="s">
        <v>938</v>
      </c>
    </row>
    <row r="418" spans="1:15" x14ac:dyDescent="0.3">
      <c r="A418" s="18" t="s">
        <v>723</v>
      </c>
      <c r="B418" s="18" t="s">
        <v>724</v>
      </c>
      <c r="C418" s="18" t="s">
        <v>2130</v>
      </c>
      <c r="D418" s="18" t="s">
        <v>17</v>
      </c>
      <c r="E418" s="18" t="s">
        <v>64</v>
      </c>
      <c r="F418" s="18" t="s">
        <v>44</v>
      </c>
      <c r="G418" s="18" t="s">
        <v>45</v>
      </c>
      <c r="H418" s="18" t="s">
        <v>1677</v>
      </c>
      <c r="I418" s="18" t="s">
        <v>1236</v>
      </c>
      <c r="J418" s="18" t="s">
        <v>232</v>
      </c>
      <c r="K418" s="18" t="s">
        <v>160</v>
      </c>
      <c r="L418" s="18" t="s">
        <v>2131</v>
      </c>
      <c r="M418" s="18" t="s">
        <v>72</v>
      </c>
      <c r="N418" s="18" t="s">
        <v>61</v>
      </c>
      <c r="O418" s="18" t="s">
        <v>34</v>
      </c>
    </row>
    <row r="419" spans="1:15" x14ac:dyDescent="0.3">
      <c r="A419" s="18" t="s">
        <v>909</v>
      </c>
      <c r="B419" s="18" t="s">
        <v>207</v>
      </c>
      <c r="C419" s="18" t="s">
        <v>943</v>
      </c>
      <c r="D419" s="18" t="s">
        <v>17</v>
      </c>
      <c r="E419" s="18" t="s">
        <v>124</v>
      </c>
      <c r="F419" s="18" t="s">
        <v>53</v>
      </c>
      <c r="G419" s="18" t="s">
        <v>909</v>
      </c>
      <c r="H419" s="18" t="s">
        <v>2132</v>
      </c>
      <c r="I419" s="18" t="s">
        <v>2133</v>
      </c>
      <c r="J419" s="18" t="s">
        <v>200</v>
      </c>
      <c r="K419" s="18" t="s">
        <v>201</v>
      </c>
      <c r="L419" s="18" t="s">
        <v>2134</v>
      </c>
      <c r="M419" s="18" t="s">
        <v>40</v>
      </c>
      <c r="N419" s="18" t="s">
        <v>48</v>
      </c>
      <c r="O419" s="18" t="s">
        <v>25</v>
      </c>
    </row>
    <row r="420" spans="1:15" x14ac:dyDescent="0.3">
      <c r="A420" s="18" t="s">
        <v>725</v>
      </c>
      <c r="B420" s="18" t="s">
        <v>241</v>
      </c>
      <c r="C420" s="18" t="s">
        <v>999</v>
      </c>
      <c r="D420" s="18" t="s">
        <v>51</v>
      </c>
      <c r="E420" s="18" t="s">
        <v>68</v>
      </c>
      <c r="F420" s="18" t="s">
        <v>44</v>
      </c>
      <c r="G420" s="18" t="s">
        <v>45</v>
      </c>
      <c r="H420" s="18" t="s">
        <v>2135</v>
      </c>
      <c r="I420" s="18" t="s">
        <v>974</v>
      </c>
      <c r="J420" s="18" t="s">
        <v>244</v>
      </c>
      <c r="K420" s="18" t="s">
        <v>280</v>
      </c>
      <c r="L420" s="18" t="s">
        <v>2136</v>
      </c>
      <c r="M420" s="18" t="s">
        <v>60</v>
      </c>
      <c r="N420" s="18" t="s">
        <v>24</v>
      </c>
      <c r="O420" s="18" t="s">
        <v>93</v>
      </c>
    </row>
    <row r="421" spans="1:15" x14ac:dyDescent="0.3">
      <c r="A421" s="18" t="s">
        <v>726</v>
      </c>
      <c r="B421" s="18" t="s">
        <v>499</v>
      </c>
      <c r="C421" s="18" t="s">
        <v>1085</v>
      </c>
      <c r="D421" s="18" t="s">
        <v>17</v>
      </c>
      <c r="E421" s="18" t="s">
        <v>18</v>
      </c>
      <c r="F421" s="18" t="s">
        <v>132</v>
      </c>
      <c r="G421" s="18" t="s">
        <v>223</v>
      </c>
      <c r="H421" s="18" t="s">
        <v>2137</v>
      </c>
      <c r="I421" s="18" t="s">
        <v>909</v>
      </c>
      <c r="J421" s="18" t="s">
        <v>173</v>
      </c>
      <c r="K421" s="18" t="s">
        <v>174</v>
      </c>
      <c r="L421" s="18" t="s">
        <v>2138</v>
      </c>
      <c r="M421" s="18" t="s">
        <v>99</v>
      </c>
      <c r="N421" s="18" t="s">
        <v>48</v>
      </c>
      <c r="O421" s="18" t="s">
        <v>41</v>
      </c>
    </row>
    <row r="422" spans="1:15" x14ac:dyDescent="0.3">
      <c r="A422" s="18" t="s">
        <v>727</v>
      </c>
      <c r="B422" s="18" t="s">
        <v>668</v>
      </c>
      <c r="C422" s="18" t="s">
        <v>903</v>
      </c>
      <c r="D422" s="18" t="s">
        <v>51</v>
      </c>
      <c r="E422" s="18" t="s">
        <v>68</v>
      </c>
      <c r="F422" s="18" t="s">
        <v>132</v>
      </c>
      <c r="G422" s="18" t="s">
        <v>138</v>
      </c>
      <c r="H422" s="18" t="s">
        <v>2139</v>
      </c>
      <c r="I422" s="18" t="s">
        <v>909</v>
      </c>
      <c r="J422" s="18" t="s">
        <v>173</v>
      </c>
      <c r="K422" s="18" t="s">
        <v>174</v>
      </c>
      <c r="L422" s="18" t="s">
        <v>2140</v>
      </c>
      <c r="M422" s="18" t="s">
        <v>23</v>
      </c>
      <c r="N422" s="18" t="s">
        <v>61</v>
      </c>
      <c r="O422" s="18" t="s">
        <v>1114</v>
      </c>
    </row>
    <row r="423" spans="1:15" x14ac:dyDescent="0.3">
      <c r="A423" s="18" t="s">
        <v>728</v>
      </c>
      <c r="B423" s="18" t="s">
        <v>91</v>
      </c>
      <c r="C423" s="18" t="s">
        <v>992</v>
      </c>
      <c r="D423" s="18" t="s">
        <v>51</v>
      </c>
      <c r="E423" s="18" t="s">
        <v>909</v>
      </c>
      <c r="F423" s="18" t="s">
        <v>28</v>
      </c>
      <c r="G423" s="18" t="s">
        <v>29</v>
      </c>
      <c r="H423" s="18" t="s">
        <v>2141</v>
      </c>
      <c r="I423" s="18" t="s">
        <v>2142</v>
      </c>
      <c r="J423" s="18" t="s">
        <v>75</v>
      </c>
      <c r="K423" s="18" t="s">
        <v>76</v>
      </c>
      <c r="L423" s="18" t="s">
        <v>909</v>
      </c>
      <c r="M423" s="18" t="s">
        <v>60</v>
      </c>
      <c r="N423" s="18" t="s">
        <v>48</v>
      </c>
      <c r="O423" s="18" t="s">
        <v>938</v>
      </c>
    </row>
    <row r="424" spans="1:15" x14ac:dyDescent="0.3">
      <c r="A424" s="18" t="s">
        <v>729</v>
      </c>
      <c r="B424" s="18" t="s">
        <v>730</v>
      </c>
      <c r="C424" s="18" t="s">
        <v>992</v>
      </c>
      <c r="D424" s="18" t="s">
        <v>17</v>
      </c>
      <c r="E424" s="18" t="s">
        <v>52</v>
      </c>
      <c r="F424" s="18" t="s">
        <v>1070</v>
      </c>
      <c r="G424" s="18" t="s">
        <v>223</v>
      </c>
      <c r="H424" s="18" t="s">
        <v>1786</v>
      </c>
      <c r="I424" s="18" t="s">
        <v>909</v>
      </c>
      <c r="J424" s="18" t="s">
        <v>1568</v>
      </c>
      <c r="K424" s="18" t="s">
        <v>909</v>
      </c>
      <c r="L424" s="18" t="s">
        <v>2143</v>
      </c>
      <c r="M424" s="18" t="s">
        <v>1063</v>
      </c>
      <c r="N424" s="18" t="s">
        <v>61</v>
      </c>
      <c r="O424" s="18" t="s">
        <v>41</v>
      </c>
    </row>
    <row r="425" spans="1:15" x14ac:dyDescent="0.3">
      <c r="A425" s="18" t="s">
        <v>731</v>
      </c>
      <c r="B425" s="18" t="s">
        <v>451</v>
      </c>
      <c r="C425" s="18" t="s">
        <v>1690</v>
      </c>
      <c r="D425" s="18" t="s">
        <v>17</v>
      </c>
      <c r="E425" s="18" t="s">
        <v>43</v>
      </c>
      <c r="F425" s="18" t="s">
        <v>909</v>
      </c>
      <c r="G425" s="18" t="s">
        <v>88</v>
      </c>
      <c r="H425" s="18" t="s">
        <v>2144</v>
      </c>
      <c r="I425" s="18" t="s">
        <v>2145</v>
      </c>
      <c r="J425" s="18" t="s">
        <v>89</v>
      </c>
      <c r="K425" s="18" t="s">
        <v>92</v>
      </c>
      <c r="L425" s="18" t="s">
        <v>2146</v>
      </c>
      <c r="M425" s="18" t="s">
        <v>40</v>
      </c>
      <c r="N425" s="18" t="s">
        <v>24</v>
      </c>
      <c r="O425" s="18" t="s">
        <v>93</v>
      </c>
    </row>
    <row r="426" spans="1:15" x14ac:dyDescent="0.3">
      <c r="A426" s="18" t="s">
        <v>732</v>
      </c>
      <c r="B426" s="18" t="s">
        <v>415</v>
      </c>
      <c r="C426" s="18" t="s">
        <v>992</v>
      </c>
      <c r="D426" s="18" t="s">
        <v>51</v>
      </c>
      <c r="E426" s="18" t="s">
        <v>86</v>
      </c>
      <c r="F426" s="18" t="s">
        <v>38</v>
      </c>
      <c r="G426" s="18" t="s">
        <v>167</v>
      </c>
      <c r="H426" s="18" t="s">
        <v>2147</v>
      </c>
      <c r="I426" s="18" t="s">
        <v>2148</v>
      </c>
      <c r="J426" s="18" t="s">
        <v>184</v>
      </c>
      <c r="K426" s="18" t="s">
        <v>59</v>
      </c>
      <c r="L426" s="18" t="s">
        <v>2149</v>
      </c>
      <c r="M426" s="18" t="s">
        <v>99</v>
      </c>
      <c r="N426" s="18" t="s">
        <v>61</v>
      </c>
      <c r="O426" s="18" t="s">
        <v>938</v>
      </c>
    </row>
    <row r="427" spans="1:15" x14ac:dyDescent="0.3">
      <c r="A427" s="18" t="s">
        <v>733</v>
      </c>
      <c r="B427" s="18" t="s">
        <v>307</v>
      </c>
      <c r="C427" s="18" t="s">
        <v>1418</v>
      </c>
      <c r="D427" s="18" t="s">
        <v>17</v>
      </c>
      <c r="E427" s="18" t="s">
        <v>64</v>
      </c>
      <c r="F427" s="18" t="s">
        <v>132</v>
      </c>
      <c r="G427" s="18" t="s">
        <v>138</v>
      </c>
      <c r="H427" s="18" t="s">
        <v>2150</v>
      </c>
      <c r="I427" s="18" t="s">
        <v>2151</v>
      </c>
      <c r="J427" s="18" t="s">
        <v>134</v>
      </c>
      <c r="K427" s="18" t="s">
        <v>135</v>
      </c>
      <c r="L427" s="18" t="s">
        <v>2152</v>
      </c>
      <c r="M427" s="18" t="s">
        <v>32</v>
      </c>
      <c r="N427" s="18" t="s">
        <v>909</v>
      </c>
      <c r="O427" s="18" t="s">
        <v>34</v>
      </c>
    </row>
    <row r="428" spans="1:15" x14ac:dyDescent="0.3">
      <c r="A428" s="18" t="s">
        <v>734</v>
      </c>
      <c r="B428" s="18" t="s">
        <v>627</v>
      </c>
      <c r="C428" s="18" t="s">
        <v>961</v>
      </c>
      <c r="D428" s="18" t="s">
        <v>51</v>
      </c>
      <c r="E428" s="18" t="s">
        <v>68</v>
      </c>
      <c r="F428" s="18" t="s">
        <v>53</v>
      </c>
      <c r="G428" s="18" t="s">
        <v>143</v>
      </c>
      <c r="H428" s="18" t="s">
        <v>1440</v>
      </c>
      <c r="I428" s="18" t="s">
        <v>2099</v>
      </c>
      <c r="J428" s="18" t="s">
        <v>107</v>
      </c>
      <c r="K428" s="18" t="s">
        <v>108</v>
      </c>
      <c r="L428" s="18" t="s">
        <v>2153</v>
      </c>
      <c r="M428" s="18" t="s">
        <v>99</v>
      </c>
      <c r="N428" s="18" t="s">
        <v>33</v>
      </c>
      <c r="O428" s="18" t="s">
        <v>938</v>
      </c>
    </row>
    <row r="429" spans="1:15" x14ac:dyDescent="0.3">
      <c r="A429" s="18" t="s">
        <v>735</v>
      </c>
      <c r="B429" s="18" t="s">
        <v>736</v>
      </c>
      <c r="C429" s="18" t="s">
        <v>1351</v>
      </c>
      <c r="D429" s="18" t="s">
        <v>17</v>
      </c>
      <c r="E429" s="18" t="s">
        <v>64</v>
      </c>
      <c r="F429" s="18" t="s">
        <v>44</v>
      </c>
      <c r="G429" s="18" t="s">
        <v>153</v>
      </c>
      <c r="H429" s="18" t="s">
        <v>2154</v>
      </c>
      <c r="I429" s="18" t="s">
        <v>2155</v>
      </c>
      <c r="J429" s="18" t="s">
        <v>1051</v>
      </c>
      <c r="K429" s="18" t="s">
        <v>160</v>
      </c>
      <c r="L429" s="18" t="s">
        <v>2156</v>
      </c>
      <c r="M429" s="18" t="s">
        <v>909</v>
      </c>
      <c r="N429" s="18" t="s">
        <v>61</v>
      </c>
      <c r="O429" s="18" t="s">
        <v>938</v>
      </c>
    </row>
    <row r="430" spans="1:15" x14ac:dyDescent="0.3">
      <c r="A430" s="18" t="s">
        <v>2157</v>
      </c>
      <c r="B430" s="18" t="s">
        <v>909</v>
      </c>
      <c r="C430" s="18" t="s">
        <v>1674</v>
      </c>
      <c r="D430" s="18" t="s">
        <v>17</v>
      </c>
      <c r="E430" s="18" t="s">
        <v>86</v>
      </c>
      <c r="F430" s="18" t="s">
        <v>132</v>
      </c>
      <c r="G430" s="18" t="s">
        <v>138</v>
      </c>
      <c r="H430" s="18" t="s">
        <v>1039</v>
      </c>
      <c r="I430" s="18" t="s">
        <v>909</v>
      </c>
      <c r="J430" s="18" t="s">
        <v>173</v>
      </c>
      <c r="K430" s="18" t="s">
        <v>174</v>
      </c>
      <c r="L430" s="18" t="s">
        <v>2158</v>
      </c>
      <c r="M430" s="18" t="s">
        <v>909</v>
      </c>
      <c r="N430" s="18" t="s">
        <v>33</v>
      </c>
      <c r="O430" s="18" t="s">
        <v>1467</v>
      </c>
    </row>
    <row r="431" spans="1:15" x14ac:dyDescent="0.3">
      <c r="A431" s="18" t="s">
        <v>737</v>
      </c>
      <c r="B431" s="18" t="s">
        <v>738</v>
      </c>
      <c r="C431" s="18" t="s">
        <v>1378</v>
      </c>
      <c r="D431" s="18" t="s">
        <v>17</v>
      </c>
      <c r="E431" s="18" t="s">
        <v>111</v>
      </c>
      <c r="F431" s="18" t="s">
        <v>28</v>
      </c>
      <c r="G431" s="18" t="s">
        <v>195</v>
      </c>
      <c r="H431" s="18" t="s">
        <v>2088</v>
      </c>
      <c r="I431" s="18" t="s">
        <v>1121</v>
      </c>
      <c r="J431" s="18" t="s">
        <v>30</v>
      </c>
      <c r="K431" s="18" t="s">
        <v>31</v>
      </c>
      <c r="L431" s="18" t="s">
        <v>2159</v>
      </c>
      <c r="M431" s="18" t="s">
        <v>47</v>
      </c>
      <c r="N431" s="18" t="s">
        <v>48</v>
      </c>
      <c r="O431" s="18" t="s">
        <v>938</v>
      </c>
    </row>
    <row r="432" spans="1:15" x14ac:dyDescent="0.3">
      <c r="A432" s="18" t="s">
        <v>739</v>
      </c>
      <c r="B432" s="18" t="s">
        <v>668</v>
      </c>
      <c r="C432" s="18" t="s">
        <v>903</v>
      </c>
      <c r="D432" s="18" t="s">
        <v>51</v>
      </c>
      <c r="E432" s="18" t="s">
        <v>86</v>
      </c>
      <c r="F432" s="18" t="s">
        <v>19</v>
      </c>
      <c r="G432" s="18" t="s">
        <v>158</v>
      </c>
      <c r="H432" s="18" t="s">
        <v>2160</v>
      </c>
      <c r="I432" s="18" t="s">
        <v>1516</v>
      </c>
      <c r="J432" s="18" t="s">
        <v>21</v>
      </c>
      <c r="K432" s="18" t="s">
        <v>22</v>
      </c>
      <c r="L432" s="18" t="s">
        <v>2161</v>
      </c>
      <c r="M432" s="18" t="s">
        <v>1063</v>
      </c>
      <c r="N432" s="18" t="s">
        <v>33</v>
      </c>
      <c r="O432" s="18" t="s">
        <v>1583</v>
      </c>
    </row>
    <row r="433" spans="1:15" x14ac:dyDescent="0.3">
      <c r="A433" s="18" t="s">
        <v>740</v>
      </c>
      <c r="B433" s="18" t="s">
        <v>524</v>
      </c>
      <c r="C433" s="18" t="s">
        <v>1210</v>
      </c>
      <c r="D433" s="18" t="s">
        <v>1142</v>
      </c>
      <c r="E433" s="18" t="s">
        <v>86</v>
      </c>
      <c r="F433" s="18" t="s">
        <v>909</v>
      </c>
      <c r="G433" s="18" t="s">
        <v>138</v>
      </c>
      <c r="H433" s="18" t="s">
        <v>2162</v>
      </c>
      <c r="I433" s="18" t="s">
        <v>2163</v>
      </c>
      <c r="J433" s="18" t="s">
        <v>134</v>
      </c>
      <c r="K433" s="18" t="s">
        <v>135</v>
      </c>
      <c r="L433" s="18" t="s">
        <v>2164</v>
      </c>
      <c r="M433" s="18" t="s">
        <v>47</v>
      </c>
      <c r="N433" s="18" t="s">
        <v>65</v>
      </c>
      <c r="O433" s="18" t="s">
        <v>93</v>
      </c>
    </row>
    <row r="434" spans="1:15" x14ac:dyDescent="0.3">
      <c r="A434" s="18" t="s">
        <v>741</v>
      </c>
      <c r="B434" s="18" t="s">
        <v>659</v>
      </c>
      <c r="C434" s="18" t="s">
        <v>1082</v>
      </c>
      <c r="D434" s="18" t="s">
        <v>17</v>
      </c>
      <c r="E434" s="18" t="s">
        <v>86</v>
      </c>
      <c r="F434" s="18" t="s">
        <v>28</v>
      </c>
      <c r="G434" s="18" t="s">
        <v>29</v>
      </c>
      <c r="H434" s="18" t="s">
        <v>2165</v>
      </c>
      <c r="I434" s="18" t="s">
        <v>909</v>
      </c>
      <c r="J434" s="18" t="s">
        <v>102</v>
      </c>
      <c r="K434" s="18" t="s">
        <v>103</v>
      </c>
      <c r="L434" s="18" t="s">
        <v>2166</v>
      </c>
      <c r="M434" s="18" t="s">
        <v>23</v>
      </c>
      <c r="N434" s="18" t="s">
        <v>61</v>
      </c>
      <c r="O434" s="18" t="s">
        <v>41</v>
      </c>
    </row>
    <row r="435" spans="1:15" x14ac:dyDescent="0.3">
      <c r="A435" s="18" t="s">
        <v>742</v>
      </c>
      <c r="B435" s="18" t="s">
        <v>462</v>
      </c>
      <c r="C435" s="18" t="s">
        <v>928</v>
      </c>
      <c r="D435" s="18" t="s">
        <v>17</v>
      </c>
      <c r="E435" s="18" t="s">
        <v>64</v>
      </c>
      <c r="F435" s="18" t="s">
        <v>19</v>
      </c>
      <c r="G435" s="18" t="s">
        <v>158</v>
      </c>
      <c r="H435" s="18" t="s">
        <v>2006</v>
      </c>
      <c r="I435" s="18" t="s">
        <v>1462</v>
      </c>
      <c r="J435" s="18" t="s">
        <v>120</v>
      </c>
      <c r="K435" s="18" t="s">
        <v>121</v>
      </c>
      <c r="L435" s="18" t="s">
        <v>2167</v>
      </c>
      <c r="M435" s="18" t="s">
        <v>47</v>
      </c>
      <c r="N435" s="18" t="s">
        <v>24</v>
      </c>
      <c r="O435" s="18" t="s">
        <v>938</v>
      </c>
    </row>
    <row r="436" spans="1:15" x14ac:dyDescent="0.3">
      <c r="A436" s="18" t="s">
        <v>972</v>
      </c>
      <c r="B436" s="18" t="s">
        <v>317</v>
      </c>
      <c r="C436" s="18" t="s">
        <v>1082</v>
      </c>
      <c r="D436" s="18" t="s">
        <v>17</v>
      </c>
      <c r="E436" s="18" t="s">
        <v>1025</v>
      </c>
      <c r="F436" s="18" t="s">
        <v>132</v>
      </c>
      <c r="G436" s="18" t="s">
        <v>133</v>
      </c>
      <c r="H436" s="18" t="s">
        <v>2168</v>
      </c>
      <c r="I436" s="18" t="s">
        <v>2169</v>
      </c>
      <c r="J436" s="18" t="s">
        <v>147</v>
      </c>
      <c r="K436" s="18" t="s">
        <v>148</v>
      </c>
      <c r="L436" s="18" t="s">
        <v>2170</v>
      </c>
      <c r="M436" s="18" t="s">
        <v>60</v>
      </c>
      <c r="N436" s="18" t="s">
        <v>61</v>
      </c>
      <c r="O436" s="18" t="s">
        <v>25</v>
      </c>
    </row>
    <row r="437" spans="1:15" x14ac:dyDescent="0.3">
      <c r="A437" s="18" t="s">
        <v>743</v>
      </c>
      <c r="B437" s="18" t="s">
        <v>744</v>
      </c>
      <c r="C437" s="18" t="s">
        <v>943</v>
      </c>
      <c r="D437" s="18" t="s">
        <v>17</v>
      </c>
      <c r="E437" s="18" t="s">
        <v>64</v>
      </c>
      <c r="F437" s="18" t="s">
        <v>44</v>
      </c>
      <c r="G437" s="18" t="s">
        <v>909</v>
      </c>
      <c r="H437" s="18" t="s">
        <v>1566</v>
      </c>
      <c r="I437" s="18" t="s">
        <v>2171</v>
      </c>
      <c r="J437" s="18" t="s">
        <v>232</v>
      </c>
      <c r="K437" s="18" t="s">
        <v>1287</v>
      </c>
      <c r="L437" s="18" t="s">
        <v>2172</v>
      </c>
      <c r="M437" s="18" t="s">
        <v>32</v>
      </c>
      <c r="N437" s="18" t="s">
        <v>61</v>
      </c>
      <c r="O437" s="18" t="s">
        <v>938</v>
      </c>
    </row>
    <row r="438" spans="1:15" x14ac:dyDescent="0.3">
      <c r="A438" s="18" t="s">
        <v>745</v>
      </c>
      <c r="B438" s="18" t="s">
        <v>708</v>
      </c>
      <c r="C438" s="18" t="s">
        <v>947</v>
      </c>
      <c r="D438" s="18" t="s">
        <v>17</v>
      </c>
      <c r="E438" s="18" t="s">
        <v>68</v>
      </c>
      <c r="F438" s="18" t="s">
        <v>38</v>
      </c>
      <c r="G438" s="18" t="s">
        <v>125</v>
      </c>
      <c r="H438" s="18" t="s">
        <v>2173</v>
      </c>
      <c r="I438" s="18" t="s">
        <v>1089</v>
      </c>
      <c r="J438" s="18" t="s">
        <v>97</v>
      </c>
      <c r="K438" s="18" t="s">
        <v>98</v>
      </c>
      <c r="L438" s="18" t="s">
        <v>909</v>
      </c>
      <c r="M438" s="18" t="s">
        <v>72</v>
      </c>
      <c r="N438" s="18" t="s">
        <v>33</v>
      </c>
      <c r="O438" s="18" t="s">
        <v>25</v>
      </c>
    </row>
    <row r="439" spans="1:15" x14ac:dyDescent="0.3">
      <c r="A439" s="18" t="s">
        <v>746</v>
      </c>
      <c r="B439" s="18" t="s">
        <v>159</v>
      </c>
      <c r="C439" s="18" t="s">
        <v>1085</v>
      </c>
      <c r="D439" s="18" t="s">
        <v>17</v>
      </c>
      <c r="E439" s="18" t="s">
        <v>37</v>
      </c>
      <c r="F439" s="18" t="s">
        <v>28</v>
      </c>
      <c r="G439" s="18" t="s">
        <v>101</v>
      </c>
      <c r="H439" s="18" t="s">
        <v>1256</v>
      </c>
      <c r="I439" s="18" t="s">
        <v>957</v>
      </c>
      <c r="J439" s="18" t="s">
        <v>909</v>
      </c>
      <c r="K439" s="18" t="s">
        <v>1077</v>
      </c>
      <c r="L439" s="18" t="s">
        <v>2174</v>
      </c>
      <c r="M439" s="18" t="s">
        <v>72</v>
      </c>
      <c r="N439" s="18" t="s">
        <v>33</v>
      </c>
      <c r="O439" s="18" t="s">
        <v>93</v>
      </c>
    </row>
    <row r="440" spans="1:15" x14ac:dyDescent="0.3">
      <c r="A440" s="18" t="s">
        <v>747</v>
      </c>
      <c r="B440" s="18" t="s">
        <v>356</v>
      </c>
      <c r="C440" s="18" t="s">
        <v>1452</v>
      </c>
      <c r="D440" s="18" t="s">
        <v>51</v>
      </c>
      <c r="E440" s="18" t="s">
        <v>52</v>
      </c>
      <c r="F440" s="18" t="s">
        <v>87</v>
      </c>
      <c r="G440" s="18" t="s">
        <v>112</v>
      </c>
      <c r="H440" s="18" t="s">
        <v>909</v>
      </c>
      <c r="I440" s="18" t="s">
        <v>2175</v>
      </c>
      <c r="J440" s="18" t="s">
        <v>89</v>
      </c>
      <c r="K440" s="18" t="s">
        <v>92</v>
      </c>
      <c r="L440" s="18" t="s">
        <v>2176</v>
      </c>
      <c r="M440" s="18" t="s">
        <v>99</v>
      </c>
      <c r="N440" s="18" t="s">
        <v>48</v>
      </c>
      <c r="O440" s="18" t="s">
        <v>34</v>
      </c>
    </row>
    <row r="441" spans="1:15" x14ac:dyDescent="0.3">
      <c r="A441" s="18" t="s">
        <v>748</v>
      </c>
      <c r="B441" s="18" t="s">
        <v>298</v>
      </c>
      <c r="C441" s="18" t="s">
        <v>924</v>
      </c>
      <c r="D441" s="18" t="s">
        <v>17</v>
      </c>
      <c r="E441" s="18" t="s">
        <v>37</v>
      </c>
      <c r="F441" s="18" t="s">
        <v>19</v>
      </c>
      <c r="G441" s="18" t="s">
        <v>158</v>
      </c>
      <c r="H441" s="18" t="s">
        <v>2177</v>
      </c>
      <c r="I441" s="18" t="s">
        <v>2178</v>
      </c>
      <c r="J441" s="18" t="s">
        <v>267</v>
      </c>
      <c r="K441" s="18" t="s">
        <v>268</v>
      </c>
      <c r="L441" s="18" t="s">
        <v>2179</v>
      </c>
      <c r="M441" s="18" t="s">
        <v>47</v>
      </c>
      <c r="N441" s="18" t="s">
        <v>61</v>
      </c>
      <c r="O441" s="18" t="s">
        <v>977</v>
      </c>
    </row>
    <row r="442" spans="1:15" x14ac:dyDescent="0.3">
      <c r="A442" s="18" t="s">
        <v>749</v>
      </c>
      <c r="B442" s="18" t="s">
        <v>234</v>
      </c>
      <c r="C442" s="18" t="s">
        <v>924</v>
      </c>
      <c r="D442" s="18" t="s">
        <v>51</v>
      </c>
      <c r="E442" s="18" t="s">
        <v>43</v>
      </c>
      <c r="F442" s="18" t="s">
        <v>28</v>
      </c>
      <c r="G442" s="18" t="s">
        <v>29</v>
      </c>
      <c r="H442" s="18" t="s">
        <v>1601</v>
      </c>
      <c r="I442" s="18" t="s">
        <v>2180</v>
      </c>
      <c r="J442" s="18" t="s">
        <v>30</v>
      </c>
      <c r="K442" s="18" t="s">
        <v>31</v>
      </c>
      <c r="L442" s="18" t="s">
        <v>2181</v>
      </c>
      <c r="M442" s="18" t="s">
        <v>72</v>
      </c>
      <c r="N442" s="18" t="s">
        <v>33</v>
      </c>
      <c r="O442" s="18" t="s">
        <v>93</v>
      </c>
    </row>
    <row r="443" spans="1:15" x14ac:dyDescent="0.3">
      <c r="A443" s="18" t="s">
        <v>750</v>
      </c>
      <c r="B443" s="18" t="s">
        <v>266</v>
      </c>
      <c r="C443" s="18" t="s">
        <v>1041</v>
      </c>
      <c r="D443" s="18" t="s">
        <v>51</v>
      </c>
      <c r="E443" s="18" t="s">
        <v>111</v>
      </c>
      <c r="F443" s="18" t="s">
        <v>28</v>
      </c>
      <c r="G443" s="18" t="s">
        <v>29</v>
      </c>
      <c r="H443" s="18" t="s">
        <v>2182</v>
      </c>
      <c r="I443" s="18" t="s">
        <v>2183</v>
      </c>
      <c r="J443" s="18" t="s">
        <v>189</v>
      </c>
      <c r="K443" s="18" t="s">
        <v>1077</v>
      </c>
      <c r="L443" s="18" t="s">
        <v>2184</v>
      </c>
      <c r="M443" s="18" t="s">
        <v>47</v>
      </c>
      <c r="N443" s="18" t="s">
        <v>33</v>
      </c>
      <c r="O443" s="18" t="s">
        <v>25</v>
      </c>
    </row>
    <row r="444" spans="1:15" x14ac:dyDescent="0.3">
      <c r="A444" s="18" t="s">
        <v>751</v>
      </c>
      <c r="B444" s="18" t="s">
        <v>191</v>
      </c>
      <c r="C444" s="18" t="s">
        <v>999</v>
      </c>
      <c r="D444" s="18" t="s">
        <v>51</v>
      </c>
      <c r="E444" s="18" t="s">
        <v>909</v>
      </c>
      <c r="F444" s="18" t="s">
        <v>87</v>
      </c>
      <c r="G444" s="18" t="s">
        <v>112</v>
      </c>
      <c r="H444" s="18" t="s">
        <v>2185</v>
      </c>
      <c r="I444" s="18" t="s">
        <v>1371</v>
      </c>
      <c r="J444" s="18" t="s">
        <v>192</v>
      </c>
      <c r="K444" s="18" t="s">
        <v>193</v>
      </c>
      <c r="L444" s="18" t="s">
        <v>2186</v>
      </c>
      <c r="M444" s="18" t="s">
        <v>99</v>
      </c>
      <c r="N444" s="18" t="s">
        <v>1582</v>
      </c>
      <c r="O444" s="18" t="s">
        <v>34</v>
      </c>
    </row>
    <row r="445" spans="1:15" x14ac:dyDescent="0.3">
      <c r="A445" s="18" t="s">
        <v>2187</v>
      </c>
      <c r="B445" s="18" t="s">
        <v>736</v>
      </c>
      <c r="C445" s="18" t="s">
        <v>2030</v>
      </c>
      <c r="D445" s="18" t="s">
        <v>17</v>
      </c>
      <c r="E445" s="18" t="s">
        <v>84</v>
      </c>
      <c r="F445" s="18" t="s">
        <v>87</v>
      </c>
      <c r="G445" s="18" t="s">
        <v>324</v>
      </c>
      <c r="H445" s="18" t="s">
        <v>909</v>
      </c>
      <c r="I445" s="18" t="s">
        <v>909</v>
      </c>
      <c r="J445" s="18" t="s">
        <v>171</v>
      </c>
      <c r="K445" s="18" t="s">
        <v>113</v>
      </c>
      <c r="L445" s="18" t="s">
        <v>2188</v>
      </c>
      <c r="M445" s="18" t="s">
        <v>1013</v>
      </c>
      <c r="N445" s="18" t="s">
        <v>61</v>
      </c>
      <c r="O445" s="18" t="s">
        <v>41</v>
      </c>
    </row>
    <row r="446" spans="1:15" x14ac:dyDescent="0.3">
      <c r="A446" s="18" t="s">
        <v>752</v>
      </c>
      <c r="B446" s="18" t="s">
        <v>16</v>
      </c>
      <c r="C446" s="18" t="s">
        <v>1282</v>
      </c>
      <c r="D446" s="18" t="s">
        <v>17</v>
      </c>
      <c r="E446" s="18" t="s">
        <v>64</v>
      </c>
      <c r="F446" s="18" t="s">
        <v>44</v>
      </c>
      <c r="G446" s="18" t="s">
        <v>221</v>
      </c>
      <c r="H446" s="18" t="s">
        <v>2189</v>
      </c>
      <c r="I446" s="18" t="s">
        <v>909</v>
      </c>
      <c r="J446" s="18" t="s">
        <v>232</v>
      </c>
      <c r="K446" s="18" t="s">
        <v>160</v>
      </c>
      <c r="L446" s="18" t="s">
        <v>2190</v>
      </c>
      <c r="M446" s="18" t="s">
        <v>72</v>
      </c>
      <c r="N446" s="18" t="s">
        <v>61</v>
      </c>
      <c r="O446" s="18" t="s">
        <v>41</v>
      </c>
    </row>
    <row r="447" spans="1:15" x14ac:dyDescent="0.3">
      <c r="A447" s="18" t="s">
        <v>753</v>
      </c>
      <c r="B447" s="18" t="s">
        <v>63</v>
      </c>
      <c r="C447" s="18" t="s">
        <v>1132</v>
      </c>
      <c r="D447" s="18" t="s">
        <v>17</v>
      </c>
      <c r="E447" s="18" t="s">
        <v>124</v>
      </c>
      <c r="F447" s="18" t="s">
        <v>53</v>
      </c>
      <c r="G447" s="18" t="s">
        <v>143</v>
      </c>
      <c r="H447" s="18" t="s">
        <v>2096</v>
      </c>
      <c r="I447" s="18" t="s">
        <v>909</v>
      </c>
      <c r="J447" s="18" t="s">
        <v>909</v>
      </c>
      <c r="K447" s="18" t="s">
        <v>56</v>
      </c>
      <c r="L447" s="18" t="s">
        <v>2191</v>
      </c>
      <c r="M447" s="18" t="s">
        <v>99</v>
      </c>
      <c r="N447" s="18" t="s">
        <v>48</v>
      </c>
      <c r="O447" s="18" t="s">
        <v>41</v>
      </c>
    </row>
    <row r="448" spans="1:15" x14ac:dyDescent="0.3">
      <c r="A448" s="18" t="s">
        <v>754</v>
      </c>
      <c r="B448" s="18" t="s">
        <v>340</v>
      </c>
      <c r="C448" s="18" t="s">
        <v>1549</v>
      </c>
      <c r="D448" s="18" t="s">
        <v>17</v>
      </c>
      <c r="E448" s="18" t="s">
        <v>18</v>
      </c>
      <c r="F448" s="18" t="s">
        <v>28</v>
      </c>
      <c r="G448" s="18" t="s">
        <v>29</v>
      </c>
      <c r="H448" s="18" t="s">
        <v>2192</v>
      </c>
      <c r="I448" s="18" t="s">
        <v>2193</v>
      </c>
      <c r="J448" s="18" t="s">
        <v>75</v>
      </c>
      <c r="K448" s="18" t="s">
        <v>1916</v>
      </c>
      <c r="L448" s="18" t="s">
        <v>2194</v>
      </c>
      <c r="M448" s="18" t="s">
        <v>72</v>
      </c>
      <c r="N448" s="18" t="s">
        <v>61</v>
      </c>
      <c r="O448" s="18" t="s">
        <v>93</v>
      </c>
    </row>
    <row r="449" spans="1:15" x14ac:dyDescent="0.3">
      <c r="A449" s="18" t="s">
        <v>755</v>
      </c>
      <c r="B449" s="18" t="s">
        <v>518</v>
      </c>
      <c r="C449" s="18" t="s">
        <v>994</v>
      </c>
      <c r="D449" s="18" t="s">
        <v>17</v>
      </c>
      <c r="E449" s="18" t="s">
        <v>86</v>
      </c>
      <c r="F449" s="18" t="s">
        <v>28</v>
      </c>
      <c r="G449" s="18" t="s">
        <v>29</v>
      </c>
      <c r="H449" s="18" t="s">
        <v>1021</v>
      </c>
      <c r="I449" s="18" t="s">
        <v>909</v>
      </c>
      <c r="J449" s="18" t="s">
        <v>30</v>
      </c>
      <c r="K449" s="18" t="s">
        <v>31</v>
      </c>
      <c r="L449" s="18" t="s">
        <v>2195</v>
      </c>
      <c r="M449" s="18" t="s">
        <v>72</v>
      </c>
      <c r="N449" s="18" t="s">
        <v>33</v>
      </c>
      <c r="O449" s="18" t="s">
        <v>41</v>
      </c>
    </row>
    <row r="450" spans="1:15" x14ac:dyDescent="0.3">
      <c r="A450" s="18" t="s">
        <v>756</v>
      </c>
      <c r="B450" s="18" t="s">
        <v>425</v>
      </c>
      <c r="C450" s="18" t="s">
        <v>1175</v>
      </c>
      <c r="D450" s="18" t="s">
        <v>51</v>
      </c>
      <c r="E450" s="18" t="s">
        <v>84</v>
      </c>
      <c r="F450" s="18" t="s">
        <v>132</v>
      </c>
      <c r="G450" s="18" t="s">
        <v>2115</v>
      </c>
      <c r="H450" s="18" t="s">
        <v>944</v>
      </c>
      <c r="I450" s="18" t="s">
        <v>1176</v>
      </c>
      <c r="J450" s="18" t="s">
        <v>134</v>
      </c>
      <c r="K450" s="18" t="s">
        <v>135</v>
      </c>
      <c r="L450" s="18" t="s">
        <v>2196</v>
      </c>
      <c r="M450" s="18" t="s">
        <v>23</v>
      </c>
      <c r="N450" s="18" t="s">
        <v>61</v>
      </c>
      <c r="O450" s="18" t="s">
        <v>938</v>
      </c>
    </row>
    <row r="451" spans="1:15" x14ac:dyDescent="0.3">
      <c r="A451" s="18" t="s">
        <v>757</v>
      </c>
      <c r="B451" s="18" t="s">
        <v>758</v>
      </c>
      <c r="C451" s="18" t="s">
        <v>1722</v>
      </c>
      <c r="D451" s="18" t="s">
        <v>51</v>
      </c>
      <c r="E451" s="18" t="s">
        <v>111</v>
      </c>
      <c r="F451" s="18" t="s">
        <v>1138</v>
      </c>
      <c r="G451" s="18" t="s">
        <v>54</v>
      </c>
      <c r="H451" s="18" t="s">
        <v>1806</v>
      </c>
      <c r="I451" s="18" t="s">
        <v>2064</v>
      </c>
      <c r="J451" s="18" t="s">
        <v>70</v>
      </c>
      <c r="K451" s="18" t="s">
        <v>71</v>
      </c>
      <c r="L451" s="18" t="s">
        <v>2197</v>
      </c>
      <c r="M451" s="18" t="s">
        <v>60</v>
      </c>
      <c r="N451" s="18" t="s">
        <v>48</v>
      </c>
      <c r="O451" s="18" t="s">
        <v>25</v>
      </c>
    </row>
    <row r="452" spans="1:15" x14ac:dyDescent="0.3">
      <c r="A452" s="18" t="s">
        <v>759</v>
      </c>
      <c r="B452" s="18" t="s">
        <v>760</v>
      </c>
      <c r="C452" s="18" t="s">
        <v>1085</v>
      </c>
      <c r="D452" s="18" t="s">
        <v>1142</v>
      </c>
      <c r="E452" s="18" t="s">
        <v>18</v>
      </c>
      <c r="F452" s="18" t="s">
        <v>44</v>
      </c>
      <c r="G452" s="18" t="s">
        <v>153</v>
      </c>
      <c r="H452" s="18" t="s">
        <v>2198</v>
      </c>
      <c r="I452" s="18" t="s">
        <v>2199</v>
      </c>
      <c r="J452" s="18" t="s">
        <v>909</v>
      </c>
      <c r="K452" s="18" t="s">
        <v>155</v>
      </c>
      <c r="L452" s="18" t="s">
        <v>2200</v>
      </c>
      <c r="M452" s="18" t="s">
        <v>40</v>
      </c>
      <c r="N452" s="18" t="s">
        <v>48</v>
      </c>
      <c r="O452" s="18" t="s">
        <v>93</v>
      </c>
    </row>
    <row r="453" spans="1:15" x14ac:dyDescent="0.3">
      <c r="A453" s="18" t="s">
        <v>761</v>
      </c>
      <c r="B453" s="18" t="s">
        <v>266</v>
      </c>
      <c r="C453" s="18" t="s">
        <v>1722</v>
      </c>
      <c r="D453" s="18" t="s">
        <v>51</v>
      </c>
      <c r="E453" s="18" t="s">
        <v>111</v>
      </c>
      <c r="F453" s="18" t="s">
        <v>132</v>
      </c>
      <c r="G453" s="18" t="s">
        <v>223</v>
      </c>
      <c r="H453" s="18" t="s">
        <v>1913</v>
      </c>
      <c r="I453" s="18" t="s">
        <v>2201</v>
      </c>
      <c r="J453" s="18" t="s">
        <v>139</v>
      </c>
      <c r="K453" s="18" t="s">
        <v>140</v>
      </c>
      <c r="L453" s="18" t="s">
        <v>2202</v>
      </c>
      <c r="M453" s="18" t="s">
        <v>72</v>
      </c>
      <c r="N453" s="18" t="s">
        <v>61</v>
      </c>
      <c r="O453" s="18" t="s">
        <v>34</v>
      </c>
    </row>
    <row r="454" spans="1:15" x14ac:dyDescent="0.3">
      <c r="A454" s="18" t="s">
        <v>762</v>
      </c>
      <c r="B454" s="18" t="s">
        <v>340</v>
      </c>
      <c r="C454" s="18" t="s">
        <v>1282</v>
      </c>
      <c r="D454" s="18" t="s">
        <v>17</v>
      </c>
      <c r="E454" s="18" t="s">
        <v>68</v>
      </c>
      <c r="F454" s="18" t="s">
        <v>19</v>
      </c>
      <c r="G454" s="18" t="s">
        <v>158</v>
      </c>
      <c r="H454" s="18" t="s">
        <v>2025</v>
      </c>
      <c r="I454" s="18" t="s">
        <v>909</v>
      </c>
      <c r="J454" s="18" t="s">
        <v>267</v>
      </c>
      <c r="K454" s="18" t="s">
        <v>268</v>
      </c>
      <c r="L454" s="18" t="s">
        <v>2203</v>
      </c>
      <c r="M454" s="18" t="s">
        <v>32</v>
      </c>
      <c r="N454" s="18" t="s">
        <v>61</v>
      </c>
      <c r="O454" s="18" t="s">
        <v>41</v>
      </c>
    </row>
    <row r="455" spans="1:15" x14ac:dyDescent="0.3">
      <c r="A455" s="18" t="s">
        <v>763</v>
      </c>
      <c r="B455" s="18" t="s">
        <v>337</v>
      </c>
      <c r="C455" s="18" t="s">
        <v>909</v>
      </c>
      <c r="D455" s="18" t="s">
        <v>1142</v>
      </c>
      <c r="E455" s="18" t="s">
        <v>1428</v>
      </c>
      <c r="F455" s="18" t="s">
        <v>19</v>
      </c>
      <c r="G455" s="18" t="s">
        <v>20</v>
      </c>
      <c r="H455" s="18" t="s">
        <v>2204</v>
      </c>
      <c r="I455" s="18" t="s">
        <v>2205</v>
      </c>
      <c r="J455" s="18" t="s">
        <v>180</v>
      </c>
      <c r="K455" s="18" t="s">
        <v>181</v>
      </c>
      <c r="L455" s="18" t="s">
        <v>2206</v>
      </c>
      <c r="M455" s="18" t="s">
        <v>909</v>
      </c>
      <c r="N455" s="18" t="s">
        <v>33</v>
      </c>
      <c r="O455" s="18" t="s">
        <v>34</v>
      </c>
    </row>
    <row r="456" spans="1:15" x14ac:dyDescent="0.3">
      <c r="A456" s="18" t="s">
        <v>764</v>
      </c>
      <c r="B456" s="18" t="s">
        <v>372</v>
      </c>
      <c r="C456" s="18" t="s">
        <v>2207</v>
      </c>
      <c r="D456" s="18" t="s">
        <v>17</v>
      </c>
      <c r="E456" s="18" t="s">
        <v>124</v>
      </c>
      <c r="F456" s="18" t="s">
        <v>28</v>
      </c>
      <c r="G456" s="18" t="s">
        <v>909</v>
      </c>
      <c r="H456" s="18" t="s">
        <v>1283</v>
      </c>
      <c r="I456" s="18" t="s">
        <v>2208</v>
      </c>
      <c r="J456" s="18" t="s">
        <v>102</v>
      </c>
      <c r="K456" s="18" t="s">
        <v>103</v>
      </c>
      <c r="L456" s="18" t="s">
        <v>2209</v>
      </c>
      <c r="M456" s="18" t="s">
        <v>40</v>
      </c>
      <c r="N456" s="18" t="s">
        <v>61</v>
      </c>
      <c r="O456" s="18" t="s">
        <v>25</v>
      </c>
    </row>
    <row r="457" spans="1:15" x14ac:dyDescent="0.3">
      <c r="A457" s="18" t="s">
        <v>765</v>
      </c>
      <c r="B457" s="18" t="s">
        <v>766</v>
      </c>
      <c r="C457" s="18" t="s">
        <v>1033</v>
      </c>
      <c r="D457" s="18" t="s">
        <v>17</v>
      </c>
      <c r="E457" s="18" t="s">
        <v>111</v>
      </c>
      <c r="F457" s="18" t="s">
        <v>53</v>
      </c>
      <c r="G457" s="18" t="s">
        <v>143</v>
      </c>
      <c r="H457" s="18" t="s">
        <v>1376</v>
      </c>
      <c r="I457" s="18" t="s">
        <v>2210</v>
      </c>
      <c r="J457" s="18" t="s">
        <v>70</v>
      </c>
      <c r="K457" s="18" t="s">
        <v>71</v>
      </c>
      <c r="L457" s="18" t="s">
        <v>2211</v>
      </c>
      <c r="M457" s="18" t="s">
        <v>23</v>
      </c>
      <c r="N457" s="18" t="s">
        <v>61</v>
      </c>
      <c r="O457" s="18" t="s">
        <v>34</v>
      </c>
    </row>
    <row r="458" spans="1:15" x14ac:dyDescent="0.3">
      <c r="A458" s="18" t="s">
        <v>767</v>
      </c>
      <c r="B458" s="18" t="s">
        <v>609</v>
      </c>
      <c r="C458" s="18" t="s">
        <v>1383</v>
      </c>
      <c r="D458" s="18" t="s">
        <v>17</v>
      </c>
      <c r="E458" s="18" t="s">
        <v>111</v>
      </c>
      <c r="F458" s="18" t="s">
        <v>44</v>
      </c>
      <c r="G458" s="18" t="s">
        <v>45</v>
      </c>
      <c r="H458" s="18" t="s">
        <v>2093</v>
      </c>
      <c r="I458" s="18" t="s">
        <v>2212</v>
      </c>
      <c r="J458" s="18" t="s">
        <v>232</v>
      </c>
      <c r="K458" s="18" t="s">
        <v>160</v>
      </c>
      <c r="L458" s="18" t="s">
        <v>2213</v>
      </c>
      <c r="M458" s="18" t="s">
        <v>60</v>
      </c>
      <c r="N458" s="18" t="s">
        <v>24</v>
      </c>
      <c r="O458" s="18" t="s">
        <v>938</v>
      </c>
    </row>
    <row r="459" spans="1:15" x14ac:dyDescent="0.3">
      <c r="A459" s="18" t="s">
        <v>768</v>
      </c>
      <c r="B459" s="18" t="s">
        <v>27</v>
      </c>
      <c r="C459" s="18" t="s">
        <v>1388</v>
      </c>
      <c r="D459" s="18" t="s">
        <v>51</v>
      </c>
      <c r="E459" s="18" t="s">
        <v>86</v>
      </c>
      <c r="F459" s="18" t="s">
        <v>1505</v>
      </c>
      <c r="G459" s="18" t="s">
        <v>143</v>
      </c>
      <c r="H459" s="18" t="s">
        <v>2214</v>
      </c>
      <c r="I459" s="18" t="s">
        <v>2215</v>
      </c>
      <c r="J459" s="18" t="s">
        <v>70</v>
      </c>
      <c r="K459" s="18" t="s">
        <v>71</v>
      </c>
      <c r="L459" s="18" t="s">
        <v>2216</v>
      </c>
      <c r="M459" s="18" t="s">
        <v>909</v>
      </c>
      <c r="N459" s="18" t="s">
        <v>48</v>
      </c>
      <c r="O459" s="18" t="s">
        <v>25</v>
      </c>
    </row>
    <row r="460" spans="1:15" x14ac:dyDescent="0.3">
      <c r="A460" s="18" t="s">
        <v>769</v>
      </c>
      <c r="B460" s="18" t="s">
        <v>605</v>
      </c>
      <c r="C460" s="18" t="s">
        <v>1271</v>
      </c>
      <c r="D460" s="18" t="s">
        <v>909</v>
      </c>
      <c r="E460" s="18" t="s">
        <v>52</v>
      </c>
      <c r="F460" s="18" t="s">
        <v>44</v>
      </c>
      <c r="G460" s="18" t="s">
        <v>909</v>
      </c>
      <c r="H460" s="18" t="s">
        <v>1420</v>
      </c>
      <c r="I460" s="18" t="s">
        <v>1629</v>
      </c>
      <c r="J460" s="18" t="s">
        <v>244</v>
      </c>
      <c r="K460" s="18" t="s">
        <v>280</v>
      </c>
      <c r="L460" s="18" t="s">
        <v>2217</v>
      </c>
      <c r="M460" s="18" t="s">
        <v>60</v>
      </c>
      <c r="N460" s="18" t="s">
        <v>48</v>
      </c>
      <c r="O460" s="18" t="s">
        <v>25</v>
      </c>
    </row>
    <row r="461" spans="1:15" x14ac:dyDescent="0.3">
      <c r="A461" s="18" t="s">
        <v>770</v>
      </c>
      <c r="B461" s="18" t="s">
        <v>123</v>
      </c>
      <c r="C461" s="18" t="s">
        <v>1624</v>
      </c>
      <c r="D461" s="18" t="s">
        <v>17</v>
      </c>
      <c r="E461" s="18" t="s">
        <v>37</v>
      </c>
      <c r="F461" s="18" t="s">
        <v>28</v>
      </c>
      <c r="G461" s="18" t="s">
        <v>29</v>
      </c>
      <c r="H461" s="18" t="s">
        <v>2218</v>
      </c>
      <c r="I461" s="18" t="s">
        <v>909</v>
      </c>
      <c r="J461" s="18" t="s">
        <v>30</v>
      </c>
      <c r="K461" s="18" t="s">
        <v>31</v>
      </c>
      <c r="L461" s="18" t="s">
        <v>2219</v>
      </c>
      <c r="M461" s="18" t="s">
        <v>99</v>
      </c>
      <c r="N461" s="18" t="s">
        <v>61</v>
      </c>
      <c r="O461" s="18" t="s">
        <v>41</v>
      </c>
    </row>
    <row r="462" spans="1:15" x14ac:dyDescent="0.3">
      <c r="A462" s="18" t="s">
        <v>771</v>
      </c>
      <c r="B462" s="18" t="s">
        <v>772</v>
      </c>
      <c r="C462" s="18" t="s">
        <v>1053</v>
      </c>
      <c r="D462" s="18" t="s">
        <v>909</v>
      </c>
      <c r="E462" s="18" t="s">
        <v>52</v>
      </c>
      <c r="F462" s="18" t="s">
        <v>53</v>
      </c>
      <c r="G462" s="18" t="s">
        <v>69</v>
      </c>
      <c r="H462" s="18" t="s">
        <v>2220</v>
      </c>
      <c r="I462" s="18" t="s">
        <v>2221</v>
      </c>
      <c r="J462" s="18" t="s">
        <v>70</v>
      </c>
      <c r="K462" s="18" t="s">
        <v>71</v>
      </c>
      <c r="L462" s="18" t="s">
        <v>2222</v>
      </c>
      <c r="M462" s="18" t="s">
        <v>72</v>
      </c>
      <c r="N462" s="18" t="s">
        <v>1128</v>
      </c>
      <c r="O462" s="18" t="s">
        <v>34</v>
      </c>
    </row>
    <row r="463" spans="1:15" x14ac:dyDescent="0.3">
      <c r="A463" s="18" t="s">
        <v>773</v>
      </c>
      <c r="B463" s="18" t="s">
        <v>298</v>
      </c>
      <c r="C463" s="18" t="s">
        <v>1096</v>
      </c>
      <c r="D463" s="18" t="s">
        <v>17</v>
      </c>
      <c r="E463" s="18" t="s">
        <v>111</v>
      </c>
      <c r="F463" s="18" t="s">
        <v>44</v>
      </c>
      <c r="G463" s="18" t="s">
        <v>153</v>
      </c>
      <c r="H463" s="18" t="s">
        <v>2223</v>
      </c>
      <c r="I463" s="18" t="s">
        <v>2182</v>
      </c>
      <c r="J463" s="18" t="s">
        <v>154</v>
      </c>
      <c r="K463" s="18" t="s">
        <v>155</v>
      </c>
      <c r="L463" s="18" t="s">
        <v>2224</v>
      </c>
      <c r="M463" s="18" t="s">
        <v>99</v>
      </c>
      <c r="N463" s="18" t="s">
        <v>24</v>
      </c>
      <c r="O463" s="18" t="s">
        <v>34</v>
      </c>
    </row>
    <row r="464" spans="1:15" x14ac:dyDescent="0.3">
      <c r="A464" s="18" t="s">
        <v>774</v>
      </c>
      <c r="B464" s="18" t="s">
        <v>372</v>
      </c>
      <c r="C464" s="18" t="s">
        <v>1351</v>
      </c>
      <c r="D464" s="18" t="s">
        <v>17</v>
      </c>
      <c r="E464" s="18" t="s">
        <v>52</v>
      </c>
      <c r="F464" s="18" t="s">
        <v>38</v>
      </c>
      <c r="G464" s="18" t="s">
        <v>125</v>
      </c>
      <c r="H464" s="18" t="s">
        <v>2225</v>
      </c>
      <c r="I464" s="18" t="s">
        <v>2226</v>
      </c>
      <c r="J464" s="18" t="s">
        <v>909</v>
      </c>
      <c r="K464" s="18" t="s">
        <v>39</v>
      </c>
      <c r="L464" s="18" t="s">
        <v>2227</v>
      </c>
      <c r="M464" s="18" t="s">
        <v>99</v>
      </c>
      <c r="N464" s="18" t="s">
        <v>65</v>
      </c>
      <c r="O464" s="18" t="s">
        <v>34</v>
      </c>
    </row>
    <row r="465" spans="1:15" x14ac:dyDescent="0.3">
      <c r="A465" s="18" t="s">
        <v>775</v>
      </c>
      <c r="B465" s="18" t="s">
        <v>164</v>
      </c>
      <c r="C465" s="18" t="s">
        <v>1009</v>
      </c>
      <c r="D465" s="18" t="s">
        <v>51</v>
      </c>
      <c r="E465" s="18" t="s">
        <v>86</v>
      </c>
      <c r="F465" s="18" t="s">
        <v>132</v>
      </c>
      <c r="G465" s="18" t="s">
        <v>138</v>
      </c>
      <c r="H465" s="18" t="s">
        <v>1399</v>
      </c>
      <c r="I465" s="18" t="s">
        <v>2228</v>
      </c>
      <c r="J465" s="18" t="s">
        <v>134</v>
      </c>
      <c r="K465" s="18" t="s">
        <v>135</v>
      </c>
      <c r="L465" s="18" t="s">
        <v>2229</v>
      </c>
      <c r="M465" s="18" t="s">
        <v>23</v>
      </c>
      <c r="N465" s="18" t="s">
        <v>65</v>
      </c>
      <c r="O465" s="18" t="s">
        <v>34</v>
      </c>
    </row>
    <row r="466" spans="1:15" x14ac:dyDescent="0.3">
      <c r="A466" s="18" t="s">
        <v>776</v>
      </c>
      <c r="B466" s="18" t="s">
        <v>127</v>
      </c>
      <c r="C466" s="18" t="s">
        <v>951</v>
      </c>
      <c r="D466" s="18" t="s">
        <v>51</v>
      </c>
      <c r="E466" s="18" t="s">
        <v>111</v>
      </c>
      <c r="F466" s="18" t="s">
        <v>53</v>
      </c>
      <c r="G466" s="18" t="s">
        <v>54</v>
      </c>
      <c r="H466" s="18" t="s">
        <v>2230</v>
      </c>
      <c r="I466" s="18" t="s">
        <v>2231</v>
      </c>
      <c r="J466" s="18" t="s">
        <v>70</v>
      </c>
      <c r="K466" s="18" t="s">
        <v>71</v>
      </c>
      <c r="L466" s="18" t="s">
        <v>2232</v>
      </c>
      <c r="M466" s="18" t="s">
        <v>60</v>
      </c>
      <c r="N466" s="18" t="s">
        <v>33</v>
      </c>
      <c r="O466" s="18" t="s">
        <v>938</v>
      </c>
    </row>
    <row r="467" spans="1:15" x14ac:dyDescent="0.3">
      <c r="A467" s="18" t="s">
        <v>777</v>
      </c>
      <c r="B467" s="18" t="s">
        <v>778</v>
      </c>
      <c r="C467" s="18" t="s">
        <v>1378</v>
      </c>
      <c r="D467" s="18" t="s">
        <v>51</v>
      </c>
      <c r="E467" s="18" t="s">
        <v>124</v>
      </c>
      <c r="F467" s="18" t="s">
        <v>87</v>
      </c>
      <c r="G467" s="18" t="s">
        <v>324</v>
      </c>
      <c r="H467" s="18" t="s">
        <v>2233</v>
      </c>
      <c r="I467" s="18" t="s">
        <v>2234</v>
      </c>
      <c r="J467" s="18" t="s">
        <v>909</v>
      </c>
      <c r="K467" s="18" t="s">
        <v>113</v>
      </c>
      <c r="L467" s="18" t="s">
        <v>2235</v>
      </c>
      <c r="M467" s="18" t="s">
        <v>40</v>
      </c>
      <c r="N467" s="18" t="s">
        <v>33</v>
      </c>
      <c r="O467" s="18" t="s">
        <v>25</v>
      </c>
    </row>
    <row r="468" spans="1:15" x14ac:dyDescent="0.3">
      <c r="A468" s="18" t="s">
        <v>779</v>
      </c>
      <c r="B468" s="18" t="s">
        <v>780</v>
      </c>
      <c r="C468" s="18" t="s">
        <v>1370</v>
      </c>
      <c r="D468" s="18" t="s">
        <v>909</v>
      </c>
      <c r="E468" s="18" t="s">
        <v>86</v>
      </c>
      <c r="F468" s="18" t="s">
        <v>53</v>
      </c>
      <c r="G468" s="18" t="s">
        <v>54</v>
      </c>
      <c r="H468" s="18" t="s">
        <v>1102</v>
      </c>
      <c r="I468" s="18" t="s">
        <v>2236</v>
      </c>
      <c r="J468" s="18" t="s">
        <v>107</v>
      </c>
      <c r="K468" s="18" t="s">
        <v>108</v>
      </c>
      <c r="L468" s="18" t="s">
        <v>2237</v>
      </c>
      <c r="M468" s="18" t="s">
        <v>1063</v>
      </c>
      <c r="N468" s="18" t="s">
        <v>1128</v>
      </c>
      <c r="O468" s="18" t="s">
        <v>34</v>
      </c>
    </row>
    <row r="469" spans="1:15" x14ac:dyDescent="0.3">
      <c r="A469" s="18" t="s">
        <v>2238</v>
      </c>
      <c r="B469" s="18" t="s">
        <v>2239</v>
      </c>
      <c r="C469" s="18" t="s">
        <v>1096</v>
      </c>
      <c r="D469" s="18" t="s">
        <v>17</v>
      </c>
      <c r="E469" s="18" t="s">
        <v>1234</v>
      </c>
      <c r="F469" s="18" t="s">
        <v>19</v>
      </c>
      <c r="G469" s="18" t="s">
        <v>20</v>
      </c>
      <c r="H469" s="18" t="s">
        <v>1995</v>
      </c>
      <c r="I469" s="18" t="s">
        <v>909</v>
      </c>
      <c r="J469" s="18" t="s">
        <v>21</v>
      </c>
      <c r="K469" s="18" t="s">
        <v>22</v>
      </c>
      <c r="L469" s="18" t="s">
        <v>2240</v>
      </c>
      <c r="M469" s="18" t="s">
        <v>72</v>
      </c>
      <c r="N469" s="18" t="s">
        <v>61</v>
      </c>
      <c r="O469" s="18" t="s">
        <v>41</v>
      </c>
    </row>
    <row r="470" spans="1:15" x14ac:dyDescent="0.3">
      <c r="A470" s="18" t="s">
        <v>781</v>
      </c>
      <c r="B470" s="18" t="s">
        <v>766</v>
      </c>
      <c r="C470" s="18" t="s">
        <v>2241</v>
      </c>
      <c r="D470" s="18" t="s">
        <v>17</v>
      </c>
      <c r="E470" s="18" t="s">
        <v>111</v>
      </c>
      <c r="F470" s="18" t="s">
        <v>87</v>
      </c>
      <c r="G470" s="18" t="s">
        <v>112</v>
      </c>
      <c r="H470" s="18" t="s">
        <v>2242</v>
      </c>
      <c r="I470" s="18" t="s">
        <v>1667</v>
      </c>
      <c r="J470" s="18" t="s">
        <v>192</v>
      </c>
      <c r="K470" s="18" t="s">
        <v>193</v>
      </c>
      <c r="L470" s="18" t="s">
        <v>2243</v>
      </c>
      <c r="M470" s="18" t="s">
        <v>99</v>
      </c>
      <c r="N470" s="18" t="s">
        <v>24</v>
      </c>
      <c r="O470" s="18" t="s">
        <v>93</v>
      </c>
    </row>
    <row r="471" spans="1:15" x14ac:dyDescent="0.3">
      <c r="A471" s="18" t="s">
        <v>782</v>
      </c>
      <c r="B471" s="18" t="s">
        <v>783</v>
      </c>
      <c r="C471" s="18" t="s">
        <v>1107</v>
      </c>
      <c r="D471" s="18" t="s">
        <v>17</v>
      </c>
      <c r="E471" s="18" t="s">
        <v>52</v>
      </c>
      <c r="F471" s="18" t="s">
        <v>132</v>
      </c>
      <c r="G471" s="18" t="s">
        <v>133</v>
      </c>
      <c r="H471" s="18" t="s">
        <v>2244</v>
      </c>
      <c r="I471" s="18" t="s">
        <v>909</v>
      </c>
      <c r="J471" s="18" t="s">
        <v>134</v>
      </c>
      <c r="K471" s="18" t="s">
        <v>135</v>
      </c>
      <c r="L471" s="18" t="s">
        <v>2245</v>
      </c>
      <c r="M471" s="18" t="s">
        <v>60</v>
      </c>
      <c r="N471" s="18" t="s">
        <v>61</v>
      </c>
      <c r="O471" s="18" t="s">
        <v>41</v>
      </c>
    </row>
    <row r="472" spans="1:15" x14ac:dyDescent="0.3">
      <c r="A472" s="18" t="s">
        <v>784</v>
      </c>
      <c r="B472" s="18" t="s">
        <v>512</v>
      </c>
      <c r="C472" s="18" t="s">
        <v>2246</v>
      </c>
      <c r="D472" s="18" t="s">
        <v>17</v>
      </c>
      <c r="E472" s="18" t="s">
        <v>52</v>
      </c>
      <c r="F472" s="18" t="s">
        <v>44</v>
      </c>
      <c r="G472" s="18" t="s">
        <v>221</v>
      </c>
      <c r="H472" s="18" t="s">
        <v>2247</v>
      </c>
      <c r="I472" s="18" t="s">
        <v>909</v>
      </c>
      <c r="J472" s="18" t="s">
        <v>154</v>
      </c>
      <c r="K472" s="18" t="s">
        <v>155</v>
      </c>
      <c r="L472" s="18" t="s">
        <v>2248</v>
      </c>
      <c r="M472" s="18" t="s">
        <v>32</v>
      </c>
      <c r="N472" s="18" t="s">
        <v>24</v>
      </c>
      <c r="O472" s="18" t="s">
        <v>41</v>
      </c>
    </row>
    <row r="473" spans="1:15" x14ac:dyDescent="0.3">
      <c r="A473" s="18" t="s">
        <v>2249</v>
      </c>
      <c r="B473" s="18" t="s">
        <v>100</v>
      </c>
      <c r="C473" s="18" t="s">
        <v>1690</v>
      </c>
      <c r="D473" s="18" t="s">
        <v>17</v>
      </c>
      <c r="E473" s="18" t="s">
        <v>68</v>
      </c>
      <c r="F473" s="18" t="s">
        <v>87</v>
      </c>
      <c r="G473" s="18" t="s">
        <v>88</v>
      </c>
      <c r="H473" s="18" t="s">
        <v>2250</v>
      </c>
      <c r="I473" s="18" t="s">
        <v>2109</v>
      </c>
      <c r="J473" s="18" t="s">
        <v>89</v>
      </c>
      <c r="K473" s="18" t="s">
        <v>92</v>
      </c>
      <c r="L473" s="18" t="s">
        <v>909</v>
      </c>
      <c r="M473" s="18" t="s">
        <v>32</v>
      </c>
      <c r="N473" s="18" t="s">
        <v>24</v>
      </c>
      <c r="O473" s="18" t="s">
        <v>2251</v>
      </c>
    </row>
    <row r="474" spans="1:15" x14ac:dyDescent="0.3">
      <c r="A474" s="18" t="s">
        <v>785</v>
      </c>
      <c r="B474" s="18" t="s">
        <v>786</v>
      </c>
      <c r="C474" s="18" t="s">
        <v>1437</v>
      </c>
      <c r="D474" s="18" t="s">
        <v>51</v>
      </c>
      <c r="E474" s="18" t="s">
        <v>68</v>
      </c>
      <c r="F474" s="18" t="s">
        <v>909</v>
      </c>
      <c r="G474" s="18" t="s">
        <v>158</v>
      </c>
      <c r="H474" s="18" t="s">
        <v>1512</v>
      </c>
      <c r="I474" s="18" t="s">
        <v>1476</v>
      </c>
      <c r="J474" s="18" t="s">
        <v>21</v>
      </c>
      <c r="K474" s="18" t="s">
        <v>22</v>
      </c>
      <c r="L474" s="18" t="s">
        <v>2252</v>
      </c>
      <c r="M474" s="18" t="s">
        <v>1063</v>
      </c>
      <c r="N474" s="18" t="s">
        <v>61</v>
      </c>
      <c r="O474" s="18" t="s">
        <v>34</v>
      </c>
    </row>
    <row r="475" spans="1:15" x14ac:dyDescent="0.3">
      <c r="A475" s="18" t="s">
        <v>787</v>
      </c>
      <c r="B475" s="18" t="s">
        <v>668</v>
      </c>
      <c r="C475" s="18" t="s">
        <v>1351</v>
      </c>
      <c r="D475" s="18" t="s">
        <v>51</v>
      </c>
      <c r="E475" s="18" t="s">
        <v>124</v>
      </c>
      <c r="F475" s="18" t="s">
        <v>19</v>
      </c>
      <c r="G475" s="18" t="s">
        <v>20</v>
      </c>
      <c r="H475" s="18" t="s">
        <v>2253</v>
      </c>
      <c r="I475" s="18" t="s">
        <v>2254</v>
      </c>
      <c r="J475" s="18" t="s">
        <v>120</v>
      </c>
      <c r="K475" s="18" t="s">
        <v>121</v>
      </c>
      <c r="L475" s="18" t="s">
        <v>2255</v>
      </c>
      <c r="M475" s="18" t="s">
        <v>32</v>
      </c>
      <c r="N475" s="18" t="s">
        <v>1582</v>
      </c>
      <c r="O475" s="18" t="s">
        <v>93</v>
      </c>
    </row>
    <row r="476" spans="1:15" x14ac:dyDescent="0.3">
      <c r="A476" s="18" t="s">
        <v>788</v>
      </c>
      <c r="B476" s="18" t="s">
        <v>278</v>
      </c>
      <c r="C476" s="18" t="s">
        <v>1310</v>
      </c>
      <c r="D476" s="18" t="s">
        <v>17</v>
      </c>
      <c r="E476" s="18" t="s">
        <v>111</v>
      </c>
      <c r="F476" s="18" t="s">
        <v>19</v>
      </c>
      <c r="G476" s="18" t="s">
        <v>20</v>
      </c>
      <c r="H476" s="18" t="s">
        <v>2256</v>
      </c>
      <c r="I476" s="18" t="s">
        <v>909</v>
      </c>
      <c r="J476" s="18" t="s">
        <v>120</v>
      </c>
      <c r="K476" s="18" t="s">
        <v>121</v>
      </c>
      <c r="L476" s="18" t="s">
        <v>909</v>
      </c>
      <c r="M476" s="18" t="s">
        <v>40</v>
      </c>
      <c r="N476" s="18" t="s">
        <v>48</v>
      </c>
      <c r="O476" s="18" t="s">
        <v>41</v>
      </c>
    </row>
    <row r="477" spans="1:15" x14ac:dyDescent="0.3">
      <c r="A477" s="18" t="s">
        <v>789</v>
      </c>
      <c r="B477" s="18" t="s">
        <v>649</v>
      </c>
      <c r="C477" s="18" t="s">
        <v>1406</v>
      </c>
      <c r="D477" s="18" t="s">
        <v>51</v>
      </c>
      <c r="E477" s="18" t="s">
        <v>84</v>
      </c>
      <c r="F477" s="18" t="s">
        <v>132</v>
      </c>
      <c r="G477" s="18" t="s">
        <v>223</v>
      </c>
      <c r="H477" s="18" t="s">
        <v>2257</v>
      </c>
      <c r="I477" s="18" t="s">
        <v>909</v>
      </c>
      <c r="J477" s="18" t="s">
        <v>139</v>
      </c>
      <c r="K477" s="18" t="s">
        <v>140</v>
      </c>
      <c r="L477" s="18" t="s">
        <v>2258</v>
      </c>
      <c r="M477" s="18" t="s">
        <v>23</v>
      </c>
      <c r="N477" s="18" t="s">
        <v>33</v>
      </c>
      <c r="O477" s="18" t="s">
        <v>1467</v>
      </c>
    </row>
    <row r="478" spans="1:15" x14ac:dyDescent="0.3">
      <c r="A478" s="18" t="s">
        <v>790</v>
      </c>
      <c r="B478" s="18" t="s">
        <v>453</v>
      </c>
      <c r="C478" s="18" t="s">
        <v>1624</v>
      </c>
      <c r="D478" s="18" t="s">
        <v>51</v>
      </c>
      <c r="E478" s="18" t="s">
        <v>84</v>
      </c>
      <c r="F478" s="18" t="s">
        <v>132</v>
      </c>
      <c r="G478" s="18" t="s">
        <v>133</v>
      </c>
      <c r="H478" s="18" t="s">
        <v>2259</v>
      </c>
      <c r="I478" s="18" t="s">
        <v>2260</v>
      </c>
      <c r="J478" s="18" t="s">
        <v>139</v>
      </c>
      <c r="K478" s="18" t="s">
        <v>140</v>
      </c>
      <c r="L478" s="18" t="s">
        <v>2261</v>
      </c>
      <c r="M478" s="18" t="s">
        <v>32</v>
      </c>
      <c r="N478" s="18" t="s">
        <v>909</v>
      </c>
      <c r="O478" s="18" t="s">
        <v>34</v>
      </c>
    </row>
    <row r="479" spans="1:15" x14ac:dyDescent="0.3">
      <c r="A479" s="18" t="s">
        <v>791</v>
      </c>
      <c r="B479" s="18" t="s">
        <v>730</v>
      </c>
      <c r="C479" s="18" t="s">
        <v>1461</v>
      </c>
      <c r="D479" s="18" t="s">
        <v>17</v>
      </c>
      <c r="E479" s="18" t="s">
        <v>43</v>
      </c>
      <c r="F479" s="18" t="s">
        <v>1505</v>
      </c>
      <c r="G479" s="18" t="s">
        <v>143</v>
      </c>
      <c r="H479" s="18" t="s">
        <v>1859</v>
      </c>
      <c r="I479" s="18" t="s">
        <v>909</v>
      </c>
      <c r="J479" s="18" t="s">
        <v>107</v>
      </c>
      <c r="K479" s="18" t="s">
        <v>108</v>
      </c>
      <c r="L479" s="18" t="s">
        <v>2262</v>
      </c>
      <c r="M479" s="18" t="s">
        <v>99</v>
      </c>
      <c r="N479" s="18" t="s">
        <v>48</v>
      </c>
      <c r="O479" s="18" t="s">
        <v>41</v>
      </c>
    </row>
    <row r="480" spans="1:15" x14ac:dyDescent="0.3">
      <c r="A480" s="18" t="s">
        <v>792</v>
      </c>
      <c r="B480" s="18" t="s">
        <v>659</v>
      </c>
      <c r="C480" s="18" t="s">
        <v>2263</v>
      </c>
      <c r="D480" s="18" t="s">
        <v>17</v>
      </c>
      <c r="E480" s="18" t="s">
        <v>86</v>
      </c>
      <c r="F480" s="18" t="s">
        <v>87</v>
      </c>
      <c r="G480" s="18" t="s">
        <v>324</v>
      </c>
      <c r="H480" s="18" t="s">
        <v>931</v>
      </c>
      <c r="I480" s="18" t="s">
        <v>2264</v>
      </c>
      <c r="J480" s="18" t="s">
        <v>216</v>
      </c>
      <c r="K480" s="18" t="s">
        <v>1201</v>
      </c>
      <c r="L480" s="18" t="s">
        <v>2265</v>
      </c>
      <c r="M480" s="18" t="s">
        <v>60</v>
      </c>
      <c r="N480" s="18" t="s">
        <v>33</v>
      </c>
      <c r="O480" s="18" t="s">
        <v>938</v>
      </c>
    </row>
    <row r="481" spans="1:15" x14ac:dyDescent="0.3">
      <c r="A481" s="18" t="s">
        <v>793</v>
      </c>
      <c r="B481" s="18" t="s">
        <v>535</v>
      </c>
      <c r="C481" s="18" t="s">
        <v>909</v>
      </c>
      <c r="D481" s="18" t="s">
        <v>51</v>
      </c>
      <c r="E481" s="18" t="s">
        <v>64</v>
      </c>
      <c r="F481" s="18" t="s">
        <v>53</v>
      </c>
      <c r="G481" s="18" t="s">
        <v>909</v>
      </c>
      <c r="H481" s="18" t="s">
        <v>1380</v>
      </c>
      <c r="I481" s="18" t="s">
        <v>1537</v>
      </c>
      <c r="J481" s="18" t="s">
        <v>107</v>
      </c>
      <c r="K481" s="18" t="s">
        <v>108</v>
      </c>
      <c r="L481" s="18" t="s">
        <v>2266</v>
      </c>
      <c r="M481" s="18" t="s">
        <v>32</v>
      </c>
      <c r="N481" s="18" t="s">
        <v>48</v>
      </c>
      <c r="O481" s="18" t="s">
        <v>938</v>
      </c>
    </row>
    <row r="482" spans="1:15" x14ac:dyDescent="0.3">
      <c r="A482" s="18" t="s">
        <v>794</v>
      </c>
      <c r="B482" s="18" t="s">
        <v>2267</v>
      </c>
      <c r="C482" s="18" t="s">
        <v>1461</v>
      </c>
      <c r="D482" s="18" t="s">
        <v>51</v>
      </c>
      <c r="E482" s="18" t="s">
        <v>909</v>
      </c>
      <c r="F482" s="18" t="s">
        <v>28</v>
      </c>
      <c r="G482" s="18" t="s">
        <v>195</v>
      </c>
      <c r="H482" s="18" t="s">
        <v>2268</v>
      </c>
      <c r="I482" s="18" t="s">
        <v>909</v>
      </c>
      <c r="J482" s="18" t="s">
        <v>102</v>
      </c>
      <c r="K482" s="18" t="s">
        <v>103</v>
      </c>
      <c r="L482" s="18" t="s">
        <v>2269</v>
      </c>
      <c r="M482" s="18" t="s">
        <v>909</v>
      </c>
      <c r="N482" s="18" t="s">
        <v>61</v>
      </c>
      <c r="O482" s="18" t="s">
        <v>41</v>
      </c>
    </row>
    <row r="483" spans="1:15" x14ac:dyDescent="0.3">
      <c r="A483" s="18" t="s">
        <v>795</v>
      </c>
      <c r="B483" s="18" t="s">
        <v>796</v>
      </c>
      <c r="C483" s="18" t="s">
        <v>1030</v>
      </c>
      <c r="D483" s="18" t="s">
        <v>51</v>
      </c>
      <c r="E483" s="18" t="s">
        <v>124</v>
      </c>
      <c r="F483" s="18" t="s">
        <v>19</v>
      </c>
      <c r="G483" s="18" t="s">
        <v>158</v>
      </c>
      <c r="H483" s="18" t="s">
        <v>2270</v>
      </c>
      <c r="I483" s="18" t="s">
        <v>1753</v>
      </c>
      <c r="J483" s="18" t="s">
        <v>267</v>
      </c>
      <c r="K483" s="18" t="s">
        <v>268</v>
      </c>
      <c r="L483" s="18" t="s">
        <v>2271</v>
      </c>
      <c r="M483" s="18" t="s">
        <v>60</v>
      </c>
      <c r="N483" s="18" t="s">
        <v>1410</v>
      </c>
      <c r="O483" s="18" t="s">
        <v>938</v>
      </c>
    </row>
    <row r="484" spans="1:15" x14ac:dyDescent="0.3">
      <c r="A484" s="18" t="s">
        <v>2272</v>
      </c>
      <c r="B484" s="18" t="s">
        <v>2273</v>
      </c>
      <c r="C484" s="18" t="s">
        <v>1267</v>
      </c>
      <c r="D484" s="18" t="s">
        <v>17</v>
      </c>
      <c r="E484" s="18" t="s">
        <v>43</v>
      </c>
      <c r="F484" s="18" t="s">
        <v>28</v>
      </c>
      <c r="G484" s="18" t="s">
        <v>195</v>
      </c>
      <c r="H484" s="18" t="s">
        <v>1775</v>
      </c>
      <c r="I484" s="18" t="s">
        <v>2274</v>
      </c>
      <c r="J484" s="18" t="s">
        <v>75</v>
      </c>
      <c r="K484" s="18" t="s">
        <v>76</v>
      </c>
      <c r="L484" s="18" t="s">
        <v>2275</v>
      </c>
      <c r="M484" s="18" t="s">
        <v>40</v>
      </c>
      <c r="N484" s="18" t="s">
        <v>48</v>
      </c>
      <c r="O484" s="18" t="s">
        <v>1583</v>
      </c>
    </row>
    <row r="485" spans="1:15" x14ac:dyDescent="0.3">
      <c r="A485" s="18" t="s">
        <v>797</v>
      </c>
      <c r="B485" s="18" t="s">
        <v>798</v>
      </c>
      <c r="C485" s="18" t="s">
        <v>1003</v>
      </c>
      <c r="D485" s="18" t="s">
        <v>1142</v>
      </c>
      <c r="E485" s="18" t="s">
        <v>84</v>
      </c>
      <c r="F485" s="18" t="s">
        <v>132</v>
      </c>
      <c r="G485" s="18" t="s">
        <v>138</v>
      </c>
      <c r="H485" s="18" t="s">
        <v>2276</v>
      </c>
      <c r="I485" s="18" t="s">
        <v>909</v>
      </c>
      <c r="J485" s="18" t="s">
        <v>139</v>
      </c>
      <c r="K485" s="18" t="s">
        <v>140</v>
      </c>
      <c r="L485" s="18" t="s">
        <v>2277</v>
      </c>
      <c r="M485" s="18" t="s">
        <v>99</v>
      </c>
      <c r="N485" s="18" t="s">
        <v>48</v>
      </c>
      <c r="O485" s="18" t="s">
        <v>41</v>
      </c>
    </row>
    <row r="486" spans="1:15" x14ac:dyDescent="0.3">
      <c r="A486" s="18" t="s">
        <v>799</v>
      </c>
      <c r="B486" s="18" t="s">
        <v>2278</v>
      </c>
      <c r="C486" s="18" t="s">
        <v>1258</v>
      </c>
      <c r="D486" s="18" t="s">
        <v>1142</v>
      </c>
      <c r="E486" s="18" t="s">
        <v>909</v>
      </c>
      <c r="F486" s="18" t="s">
        <v>53</v>
      </c>
      <c r="G486" s="18" t="s">
        <v>54</v>
      </c>
      <c r="H486" s="18" t="s">
        <v>909</v>
      </c>
      <c r="I486" s="18" t="s">
        <v>2279</v>
      </c>
      <c r="J486" s="18" t="s">
        <v>70</v>
      </c>
      <c r="K486" s="18" t="s">
        <v>71</v>
      </c>
      <c r="L486" s="18" t="s">
        <v>2280</v>
      </c>
      <c r="M486" s="18" t="s">
        <v>72</v>
      </c>
      <c r="N486" s="18" t="s">
        <v>24</v>
      </c>
      <c r="O486" s="18" t="s">
        <v>93</v>
      </c>
    </row>
    <row r="487" spans="1:15" x14ac:dyDescent="0.3">
      <c r="A487" s="18" t="s">
        <v>800</v>
      </c>
      <c r="B487" s="18" t="s">
        <v>909</v>
      </c>
      <c r="C487" s="18" t="s">
        <v>909</v>
      </c>
      <c r="D487" s="18" t="s">
        <v>51</v>
      </c>
      <c r="E487" s="18" t="s">
        <v>124</v>
      </c>
      <c r="F487" s="18" t="s">
        <v>19</v>
      </c>
      <c r="G487" s="18" t="s">
        <v>20</v>
      </c>
      <c r="H487" s="18" t="s">
        <v>2281</v>
      </c>
      <c r="I487" s="18" t="s">
        <v>2276</v>
      </c>
      <c r="J487" s="18" t="s">
        <v>120</v>
      </c>
      <c r="K487" s="18" t="s">
        <v>121</v>
      </c>
      <c r="L487" s="18" t="s">
        <v>2282</v>
      </c>
      <c r="M487" s="18" t="s">
        <v>32</v>
      </c>
      <c r="N487" s="18" t="s">
        <v>48</v>
      </c>
      <c r="O487" s="18" t="s">
        <v>25</v>
      </c>
    </row>
    <row r="488" spans="1:15" x14ac:dyDescent="0.3">
      <c r="A488" s="18" t="s">
        <v>801</v>
      </c>
      <c r="B488" s="18" t="s">
        <v>802</v>
      </c>
      <c r="C488" s="18" t="s">
        <v>1549</v>
      </c>
      <c r="D488" s="18" t="s">
        <v>51</v>
      </c>
      <c r="E488" s="18" t="s">
        <v>111</v>
      </c>
      <c r="F488" s="18" t="s">
        <v>28</v>
      </c>
      <c r="G488" s="18" t="s">
        <v>195</v>
      </c>
      <c r="H488" s="18" t="s">
        <v>2283</v>
      </c>
      <c r="I488" s="18" t="s">
        <v>1150</v>
      </c>
      <c r="J488" s="18" t="s">
        <v>75</v>
      </c>
      <c r="K488" s="18" t="s">
        <v>76</v>
      </c>
      <c r="L488" s="18" t="s">
        <v>2284</v>
      </c>
      <c r="M488" s="18" t="s">
        <v>32</v>
      </c>
      <c r="N488" s="18" t="s">
        <v>65</v>
      </c>
      <c r="O488" s="18" t="s">
        <v>34</v>
      </c>
    </row>
    <row r="489" spans="1:15" x14ac:dyDescent="0.3">
      <c r="A489" s="18" t="s">
        <v>803</v>
      </c>
      <c r="B489" s="18" t="s">
        <v>804</v>
      </c>
      <c r="C489" s="18" t="s">
        <v>999</v>
      </c>
      <c r="D489" s="18" t="s">
        <v>17</v>
      </c>
      <c r="E489" s="18" t="s">
        <v>18</v>
      </c>
      <c r="F489" s="18" t="s">
        <v>28</v>
      </c>
      <c r="G489" s="18" t="s">
        <v>101</v>
      </c>
      <c r="H489" s="18" t="s">
        <v>1616</v>
      </c>
      <c r="I489" s="18" t="s">
        <v>1617</v>
      </c>
      <c r="J489" s="18" t="s">
        <v>102</v>
      </c>
      <c r="K489" s="18" t="s">
        <v>103</v>
      </c>
      <c r="L489" s="18" t="s">
        <v>2285</v>
      </c>
      <c r="M489" s="18" t="s">
        <v>47</v>
      </c>
      <c r="N489" s="18" t="s">
        <v>24</v>
      </c>
      <c r="O489" s="18" t="s">
        <v>93</v>
      </c>
    </row>
    <row r="490" spans="1:15" x14ac:dyDescent="0.3">
      <c r="A490" s="18" t="s">
        <v>805</v>
      </c>
      <c r="B490" s="18" t="s">
        <v>645</v>
      </c>
      <c r="C490" s="18" t="s">
        <v>1666</v>
      </c>
      <c r="D490" s="18" t="s">
        <v>17</v>
      </c>
      <c r="E490" s="18" t="s">
        <v>909</v>
      </c>
      <c r="F490" s="18" t="s">
        <v>38</v>
      </c>
      <c r="G490" s="18" t="s">
        <v>79</v>
      </c>
      <c r="H490" s="18" t="s">
        <v>2286</v>
      </c>
      <c r="I490" s="18" t="s">
        <v>2112</v>
      </c>
      <c r="J490" s="18" t="s">
        <v>916</v>
      </c>
      <c r="K490" s="18" t="s">
        <v>909</v>
      </c>
      <c r="L490" s="18" t="s">
        <v>2287</v>
      </c>
      <c r="M490" s="18" t="s">
        <v>47</v>
      </c>
      <c r="N490" s="18" t="s">
        <v>24</v>
      </c>
      <c r="O490" s="18" t="s">
        <v>938</v>
      </c>
    </row>
    <row r="491" spans="1:15" x14ac:dyDescent="0.3">
      <c r="A491" s="18" t="s">
        <v>806</v>
      </c>
      <c r="B491" s="18" t="s">
        <v>444</v>
      </c>
      <c r="C491" s="18" t="s">
        <v>2288</v>
      </c>
      <c r="D491" s="18" t="s">
        <v>51</v>
      </c>
      <c r="E491" s="18" t="s">
        <v>37</v>
      </c>
      <c r="F491" s="18" t="s">
        <v>87</v>
      </c>
      <c r="G491" s="18" t="s">
        <v>324</v>
      </c>
      <c r="H491" s="18" t="s">
        <v>2289</v>
      </c>
      <c r="I491" s="18" t="s">
        <v>1225</v>
      </c>
      <c r="J491" s="18" t="s">
        <v>89</v>
      </c>
      <c r="K491" s="18" t="s">
        <v>92</v>
      </c>
      <c r="L491" s="18" t="s">
        <v>2290</v>
      </c>
      <c r="M491" s="18" t="s">
        <v>23</v>
      </c>
      <c r="N491" s="18" t="s">
        <v>24</v>
      </c>
      <c r="O491" s="18" t="s">
        <v>25</v>
      </c>
    </row>
    <row r="492" spans="1:15" x14ac:dyDescent="0.3">
      <c r="A492" s="18" t="s">
        <v>2291</v>
      </c>
      <c r="B492" s="18" t="s">
        <v>807</v>
      </c>
      <c r="C492" s="18" t="s">
        <v>1014</v>
      </c>
      <c r="D492" s="18" t="s">
        <v>51</v>
      </c>
      <c r="E492" s="18" t="s">
        <v>64</v>
      </c>
      <c r="F492" s="18" t="s">
        <v>87</v>
      </c>
      <c r="G492" s="18" t="s">
        <v>88</v>
      </c>
      <c r="H492" s="18" t="s">
        <v>1345</v>
      </c>
      <c r="I492" s="18" t="s">
        <v>2292</v>
      </c>
      <c r="J492" s="18" t="s">
        <v>171</v>
      </c>
      <c r="K492" s="18" t="s">
        <v>113</v>
      </c>
      <c r="L492" s="18" t="s">
        <v>2293</v>
      </c>
      <c r="M492" s="18" t="s">
        <v>23</v>
      </c>
      <c r="N492" s="18" t="s">
        <v>61</v>
      </c>
      <c r="O492" s="18" t="s">
        <v>25</v>
      </c>
    </row>
    <row r="493" spans="1:15" x14ac:dyDescent="0.3">
      <c r="A493" s="18" t="s">
        <v>808</v>
      </c>
      <c r="B493" s="18" t="s">
        <v>251</v>
      </c>
      <c r="C493" s="18" t="s">
        <v>1164</v>
      </c>
      <c r="D493" s="18" t="s">
        <v>51</v>
      </c>
      <c r="E493" s="18" t="s">
        <v>68</v>
      </c>
      <c r="F493" s="18" t="s">
        <v>53</v>
      </c>
      <c r="G493" s="18" t="s">
        <v>143</v>
      </c>
      <c r="H493" s="18" t="s">
        <v>2035</v>
      </c>
      <c r="I493" s="18" t="s">
        <v>2294</v>
      </c>
      <c r="J493" s="18" t="s">
        <v>107</v>
      </c>
      <c r="K493" s="18" t="s">
        <v>108</v>
      </c>
      <c r="L493" s="18" t="s">
        <v>2295</v>
      </c>
      <c r="M493" s="18" t="s">
        <v>40</v>
      </c>
      <c r="N493" s="18" t="s">
        <v>1119</v>
      </c>
      <c r="O493" s="18" t="s">
        <v>938</v>
      </c>
    </row>
    <row r="494" spans="1:15" x14ac:dyDescent="0.3">
      <c r="A494" s="18" t="s">
        <v>809</v>
      </c>
      <c r="B494" s="18" t="s">
        <v>286</v>
      </c>
      <c r="C494" s="18" t="s">
        <v>1442</v>
      </c>
      <c r="D494" s="18" t="s">
        <v>51</v>
      </c>
      <c r="E494" s="18" t="s">
        <v>111</v>
      </c>
      <c r="F494" s="18" t="s">
        <v>132</v>
      </c>
      <c r="G494" s="18" t="s">
        <v>223</v>
      </c>
      <c r="H494" s="18" t="s">
        <v>1064</v>
      </c>
      <c r="I494" s="18" t="s">
        <v>988</v>
      </c>
      <c r="J494" s="18" t="s">
        <v>139</v>
      </c>
      <c r="K494" s="18" t="s">
        <v>140</v>
      </c>
      <c r="L494" s="18" t="s">
        <v>2296</v>
      </c>
      <c r="M494" s="18" t="s">
        <v>60</v>
      </c>
      <c r="N494" s="18" t="s">
        <v>61</v>
      </c>
      <c r="O494" s="18" t="s">
        <v>938</v>
      </c>
    </row>
    <row r="495" spans="1:15" x14ac:dyDescent="0.3">
      <c r="A495" s="18" t="s">
        <v>810</v>
      </c>
      <c r="B495" s="18" t="s">
        <v>633</v>
      </c>
      <c r="C495" s="18" t="s">
        <v>1539</v>
      </c>
      <c r="D495" s="18" t="s">
        <v>17</v>
      </c>
      <c r="E495" s="18" t="s">
        <v>37</v>
      </c>
      <c r="F495" s="18" t="s">
        <v>53</v>
      </c>
      <c r="G495" s="18" t="s">
        <v>2297</v>
      </c>
      <c r="H495" s="18" t="s">
        <v>2298</v>
      </c>
      <c r="I495" s="18" t="s">
        <v>2299</v>
      </c>
      <c r="J495" s="18" t="s">
        <v>200</v>
      </c>
      <c r="K495" s="18" t="s">
        <v>201</v>
      </c>
      <c r="L495" s="18" t="s">
        <v>2300</v>
      </c>
      <c r="M495" s="18" t="s">
        <v>909</v>
      </c>
      <c r="N495" s="18" t="s">
        <v>48</v>
      </c>
      <c r="O495" s="18" t="s">
        <v>34</v>
      </c>
    </row>
    <row r="496" spans="1:15" x14ac:dyDescent="0.3">
      <c r="A496" s="18" t="s">
        <v>811</v>
      </c>
      <c r="B496" s="18" t="s">
        <v>668</v>
      </c>
      <c r="C496" s="18" t="s">
        <v>1053</v>
      </c>
      <c r="D496" s="18" t="s">
        <v>51</v>
      </c>
      <c r="E496" s="18" t="s">
        <v>68</v>
      </c>
      <c r="F496" s="18" t="s">
        <v>28</v>
      </c>
      <c r="G496" s="18" t="s">
        <v>29</v>
      </c>
      <c r="H496" s="18" t="s">
        <v>1458</v>
      </c>
      <c r="I496" s="18" t="s">
        <v>1733</v>
      </c>
      <c r="J496" s="18" t="s">
        <v>102</v>
      </c>
      <c r="K496" s="18" t="s">
        <v>103</v>
      </c>
      <c r="L496" s="18" t="s">
        <v>2301</v>
      </c>
      <c r="M496" s="18" t="s">
        <v>60</v>
      </c>
      <c r="N496" s="18" t="s">
        <v>24</v>
      </c>
      <c r="O496" s="18" t="s">
        <v>25</v>
      </c>
    </row>
    <row r="497" spans="1:15" x14ac:dyDescent="0.3">
      <c r="A497" s="18" t="s">
        <v>812</v>
      </c>
      <c r="B497" s="18" t="s">
        <v>509</v>
      </c>
      <c r="C497" s="18" t="s">
        <v>1666</v>
      </c>
      <c r="D497" s="18" t="s">
        <v>51</v>
      </c>
      <c r="E497" s="18" t="s">
        <v>37</v>
      </c>
      <c r="F497" s="18" t="s">
        <v>53</v>
      </c>
      <c r="G497" s="18" t="s">
        <v>69</v>
      </c>
      <c r="H497" s="18" t="s">
        <v>2302</v>
      </c>
      <c r="I497" s="18" t="s">
        <v>1862</v>
      </c>
      <c r="J497" s="18" t="s">
        <v>107</v>
      </c>
      <c r="K497" s="18" t="s">
        <v>909</v>
      </c>
      <c r="L497" s="18" t="s">
        <v>2303</v>
      </c>
      <c r="M497" s="18" t="s">
        <v>60</v>
      </c>
      <c r="N497" s="18" t="s">
        <v>909</v>
      </c>
      <c r="O497" s="18" t="s">
        <v>34</v>
      </c>
    </row>
    <row r="498" spans="1:15" x14ac:dyDescent="0.3">
      <c r="A498" s="18" t="s">
        <v>813</v>
      </c>
      <c r="B498" s="18" t="s">
        <v>412</v>
      </c>
      <c r="C498" s="18" t="s">
        <v>1457</v>
      </c>
      <c r="D498" s="18" t="s">
        <v>17</v>
      </c>
      <c r="E498" s="18" t="s">
        <v>43</v>
      </c>
      <c r="F498" s="18" t="s">
        <v>19</v>
      </c>
      <c r="G498" s="18" t="s">
        <v>105</v>
      </c>
      <c r="H498" s="18" t="s">
        <v>909</v>
      </c>
      <c r="I498" s="18" t="s">
        <v>1236</v>
      </c>
      <c r="J498" s="18" t="s">
        <v>21</v>
      </c>
      <c r="K498" s="18" t="s">
        <v>2304</v>
      </c>
      <c r="L498" s="18" t="s">
        <v>2305</v>
      </c>
      <c r="M498" s="18" t="s">
        <v>40</v>
      </c>
      <c r="N498" s="18" t="s">
        <v>24</v>
      </c>
      <c r="O498" s="18" t="s">
        <v>938</v>
      </c>
    </row>
    <row r="499" spans="1:15" x14ac:dyDescent="0.3">
      <c r="A499" s="18" t="s">
        <v>814</v>
      </c>
      <c r="B499" s="18" t="s">
        <v>2306</v>
      </c>
      <c r="C499" s="18" t="s">
        <v>1452</v>
      </c>
      <c r="D499" s="18" t="s">
        <v>17</v>
      </c>
      <c r="E499" s="18" t="s">
        <v>68</v>
      </c>
      <c r="F499" s="18" t="s">
        <v>44</v>
      </c>
      <c r="G499" s="18" t="s">
        <v>153</v>
      </c>
      <c r="H499" s="18" t="s">
        <v>2307</v>
      </c>
      <c r="I499" s="18" t="s">
        <v>2308</v>
      </c>
      <c r="J499" s="18" t="s">
        <v>154</v>
      </c>
      <c r="K499" s="18" t="s">
        <v>155</v>
      </c>
      <c r="L499" s="18" t="s">
        <v>2309</v>
      </c>
      <c r="M499" s="18" t="s">
        <v>40</v>
      </c>
      <c r="N499" s="18" t="s">
        <v>65</v>
      </c>
      <c r="O499" s="18" t="s">
        <v>25</v>
      </c>
    </row>
    <row r="500" spans="1:15" x14ac:dyDescent="0.3">
      <c r="A500" s="18" t="s">
        <v>815</v>
      </c>
      <c r="B500" s="18" t="s">
        <v>708</v>
      </c>
      <c r="C500" s="18" t="s">
        <v>1452</v>
      </c>
      <c r="D500" s="18" t="s">
        <v>17</v>
      </c>
      <c r="E500" s="18" t="s">
        <v>68</v>
      </c>
      <c r="F500" s="18" t="s">
        <v>28</v>
      </c>
      <c r="G500" s="18" t="s">
        <v>29</v>
      </c>
      <c r="H500" s="18" t="s">
        <v>909</v>
      </c>
      <c r="I500" s="18" t="s">
        <v>2310</v>
      </c>
      <c r="J500" s="18" t="s">
        <v>102</v>
      </c>
      <c r="K500" s="18" t="s">
        <v>103</v>
      </c>
      <c r="L500" s="18" t="s">
        <v>2311</v>
      </c>
      <c r="M500" s="18" t="s">
        <v>72</v>
      </c>
      <c r="N500" s="18" t="s">
        <v>48</v>
      </c>
      <c r="O500" s="18" t="s">
        <v>25</v>
      </c>
    </row>
    <row r="501" spans="1:15" x14ac:dyDescent="0.3">
      <c r="A501" s="18" t="s">
        <v>816</v>
      </c>
      <c r="B501" s="18" t="s">
        <v>817</v>
      </c>
      <c r="C501" s="18" t="s">
        <v>956</v>
      </c>
      <c r="D501" s="18" t="s">
        <v>17</v>
      </c>
      <c r="E501" s="18" t="s">
        <v>111</v>
      </c>
      <c r="F501" s="18" t="s">
        <v>28</v>
      </c>
      <c r="G501" s="18" t="s">
        <v>101</v>
      </c>
      <c r="H501" s="18" t="s">
        <v>2117</v>
      </c>
      <c r="I501" s="18" t="s">
        <v>909</v>
      </c>
      <c r="J501" s="18" t="s">
        <v>1886</v>
      </c>
      <c r="K501" s="18" t="s">
        <v>103</v>
      </c>
      <c r="L501" s="18" t="s">
        <v>2312</v>
      </c>
      <c r="M501" s="18" t="s">
        <v>60</v>
      </c>
      <c r="N501" s="18" t="s">
        <v>24</v>
      </c>
      <c r="O501" s="18" t="s">
        <v>41</v>
      </c>
    </row>
    <row r="502" spans="1:15" x14ac:dyDescent="0.3">
      <c r="A502" s="18" t="s">
        <v>909</v>
      </c>
      <c r="B502" s="18" t="s">
        <v>818</v>
      </c>
      <c r="C502" s="18" t="s">
        <v>1210</v>
      </c>
      <c r="D502" s="18" t="s">
        <v>51</v>
      </c>
      <c r="E502" s="18" t="s">
        <v>84</v>
      </c>
      <c r="F502" s="18" t="s">
        <v>909</v>
      </c>
      <c r="G502" s="18" t="s">
        <v>158</v>
      </c>
      <c r="H502" s="18" t="s">
        <v>2313</v>
      </c>
      <c r="I502" s="18" t="s">
        <v>1801</v>
      </c>
      <c r="J502" s="18" t="s">
        <v>267</v>
      </c>
      <c r="K502" s="18" t="s">
        <v>268</v>
      </c>
      <c r="L502" s="18" t="s">
        <v>1422</v>
      </c>
      <c r="M502" s="18" t="s">
        <v>72</v>
      </c>
      <c r="N502" s="18" t="s">
        <v>65</v>
      </c>
      <c r="O502" s="18" t="s">
        <v>1045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F9B87-C950-4711-ACC5-EABA4F7D97C9}">
  <dimension ref="A1:P501"/>
  <sheetViews>
    <sheetView zoomScale="60" zoomScaleNormal="60" workbookViewId="0">
      <pane ySplit="1" topLeftCell="A2" activePane="bottomLeft" state="frozen"/>
      <selection pane="bottomLeft" activeCell="L33" sqref="L33"/>
    </sheetView>
  </sheetViews>
  <sheetFormatPr defaultRowHeight="14.4" x14ac:dyDescent="0.3"/>
  <cols>
    <col min="1" max="1" width="17" customWidth="1"/>
    <col min="2" max="2" width="20.33203125" customWidth="1"/>
    <col min="3" max="4" width="13" customWidth="1"/>
    <col min="5" max="7" width="23.109375" customWidth="1"/>
    <col min="8" max="9" width="17" customWidth="1"/>
    <col min="10" max="11" width="35.21875" customWidth="1"/>
    <col min="12" max="12" width="19.44140625" customWidth="1"/>
    <col min="13" max="14" width="26.88671875" customWidth="1"/>
    <col min="15" max="15" width="37.6640625" customWidth="1"/>
  </cols>
  <sheetData>
    <row r="1" spans="1:16" x14ac:dyDescent="0.3">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869</v>
      </c>
    </row>
    <row r="2" spans="1:16" x14ac:dyDescent="0.3">
      <c r="A2" s="5" t="s">
        <v>15</v>
      </c>
      <c r="B2" s="5" t="s">
        <v>16</v>
      </c>
      <c r="C2" s="6">
        <v>28</v>
      </c>
      <c r="D2" s="5" t="s">
        <v>17</v>
      </c>
      <c r="E2" s="5" t="s">
        <v>18</v>
      </c>
      <c r="F2" s="5" t="s">
        <v>19</v>
      </c>
      <c r="G2" s="5" t="s">
        <v>20</v>
      </c>
      <c r="H2" s="7">
        <v>45788</v>
      </c>
      <c r="I2" s="7">
        <v>45795</v>
      </c>
      <c r="J2" s="5" t="s">
        <v>21</v>
      </c>
      <c r="K2" s="5" t="s">
        <v>22</v>
      </c>
      <c r="L2" s="8">
        <v>87393.01</v>
      </c>
      <c r="M2" s="5" t="s">
        <v>23</v>
      </c>
      <c r="N2" s="5" t="s">
        <v>24</v>
      </c>
      <c r="O2" s="5" t="s">
        <v>25</v>
      </c>
      <c r="P2" s="5" t="str">
        <f>IF(hospital_patient_unclean_500__2[[#This Row],[Age]]&lt;18,"0-17",IF(hospital_patient_unclean_500__2[[#This Row],[Age]]&lt;36,"18-35",IF(hospital_patient_unclean_500__2[[#This Row],[Age]]&lt;51,"36-50",IF(hospital_patient_unclean_500__2[[#This Row],[Age]]&lt;66,"51-65","66+"))))</f>
        <v>18-35</v>
      </c>
    </row>
    <row r="3" spans="1:16" x14ac:dyDescent="0.3">
      <c r="A3" s="5" t="s">
        <v>26</v>
      </c>
      <c r="B3" s="5" t="s">
        <v>27</v>
      </c>
      <c r="C3" s="6">
        <v>55</v>
      </c>
      <c r="D3" s="5" t="s">
        <v>51</v>
      </c>
      <c r="E3" s="5" t="s">
        <v>819</v>
      </c>
      <c r="F3" s="5" t="s">
        <v>28</v>
      </c>
      <c r="G3" s="5" t="s">
        <v>29</v>
      </c>
      <c r="H3" s="7">
        <v>45669</v>
      </c>
      <c r="I3" s="7">
        <v>45681</v>
      </c>
      <c r="J3" s="5" t="s">
        <v>30</v>
      </c>
      <c r="K3" s="5" t="s">
        <v>31</v>
      </c>
      <c r="L3" s="8">
        <v>100821.63</v>
      </c>
      <c r="M3" s="5" t="s">
        <v>32</v>
      </c>
      <c r="N3" s="5" t="s">
        <v>33</v>
      </c>
      <c r="O3" s="5" t="s">
        <v>34</v>
      </c>
      <c r="P3" s="5" t="str">
        <f>IF(hospital_patient_unclean_500__2[[#This Row],[Age]]&lt;18,"0-17",IF(hospital_patient_unclean_500__2[[#This Row],[Age]]&lt;36,"18-35",IF(hospital_patient_unclean_500__2[[#This Row],[Age]]&lt;51,"36-50",IF(hospital_patient_unclean_500__2[[#This Row],[Age]]&lt;66,"51-65","66+"))))</f>
        <v>51-65</v>
      </c>
    </row>
    <row r="4" spans="1:16" x14ac:dyDescent="0.3">
      <c r="A4" s="5" t="s">
        <v>35</v>
      </c>
      <c r="B4" s="5" t="s">
        <v>36</v>
      </c>
      <c r="C4" s="6">
        <v>11</v>
      </c>
      <c r="D4" s="5" t="s">
        <v>51</v>
      </c>
      <c r="E4" s="5" t="s">
        <v>37</v>
      </c>
      <c r="F4" s="5" t="s">
        <v>38</v>
      </c>
      <c r="G4" s="5" t="s">
        <v>125</v>
      </c>
      <c r="H4" s="7">
        <v>45970</v>
      </c>
      <c r="I4" s="7">
        <v>45970</v>
      </c>
      <c r="J4" s="5" t="s">
        <v>828</v>
      </c>
      <c r="K4" s="5" t="s">
        <v>39</v>
      </c>
      <c r="L4" s="8">
        <v>159034.31</v>
      </c>
      <c r="M4" s="5" t="s">
        <v>40</v>
      </c>
      <c r="N4" s="5" t="s">
        <v>24</v>
      </c>
      <c r="O4" s="5" t="s">
        <v>41</v>
      </c>
      <c r="P4" s="5" t="str">
        <f>IF(hospital_patient_unclean_500__2[[#This Row],[Age]]&lt;18,"0-17",IF(hospital_patient_unclean_500__2[[#This Row],[Age]]&lt;36,"18-35",IF(hospital_patient_unclean_500__2[[#This Row],[Age]]&lt;51,"36-50",IF(hospital_patient_unclean_500__2[[#This Row],[Age]]&lt;66,"51-65","66+"))))</f>
        <v>0-17</v>
      </c>
    </row>
    <row r="5" spans="1:16" x14ac:dyDescent="0.3">
      <c r="A5" s="5" t="s">
        <v>829</v>
      </c>
      <c r="B5" s="5" t="s">
        <v>42</v>
      </c>
      <c r="C5" s="6">
        <v>42</v>
      </c>
      <c r="D5" s="5" t="s">
        <v>51</v>
      </c>
      <c r="E5" s="5" t="s">
        <v>43</v>
      </c>
      <c r="F5" s="5" t="s">
        <v>44</v>
      </c>
      <c r="G5" s="5" t="s">
        <v>45</v>
      </c>
      <c r="H5" s="7">
        <v>45821</v>
      </c>
      <c r="I5" s="7">
        <v>45821</v>
      </c>
      <c r="J5" s="5" t="s">
        <v>830</v>
      </c>
      <c r="K5" s="5" t="s">
        <v>46</v>
      </c>
      <c r="L5" s="8">
        <v>201434.4</v>
      </c>
      <c r="M5" s="5" t="s">
        <v>47</v>
      </c>
      <c r="N5" s="5" t="s">
        <v>48</v>
      </c>
      <c r="O5" s="5" t="s">
        <v>41</v>
      </c>
      <c r="P5" s="5" t="str">
        <f>IF(hospital_patient_unclean_500__2[[#This Row],[Age]]&lt;18,"0-17",IF(hospital_patient_unclean_500__2[[#This Row],[Age]]&lt;36,"18-35",IF(hospital_patient_unclean_500__2[[#This Row],[Age]]&lt;51,"36-50",IF(hospital_patient_unclean_500__2[[#This Row],[Age]]&lt;66,"51-65","66+"))))</f>
        <v>36-50</v>
      </c>
    </row>
    <row r="6" spans="1:16" x14ac:dyDescent="0.3">
      <c r="A6" s="5" t="s">
        <v>49</v>
      </c>
      <c r="B6" s="5" t="s">
        <v>50</v>
      </c>
      <c r="C6" s="6">
        <v>52</v>
      </c>
      <c r="D6" s="5" t="s">
        <v>51</v>
      </c>
      <c r="E6" s="5" t="s">
        <v>52</v>
      </c>
      <c r="F6" s="5" t="s">
        <v>53</v>
      </c>
      <c r="G6" s="5" t="s">
        <v>54</v>
      </c>
      <c r="H6" s="7">
        <v>45732</v>
      </c>
      <c r="I6" s="7">
        <v>45743</v>
      </c>
      <c r="J6" s="5" t="s">
        <v>55</v>
      </c>
      <c r="K6" s="5" t="s">
        <v>56</v>
      </c>
      <c r="L6" s="8">
        <v>130701.41</v>
      </c>
      <c r="M6" s="5" t="s">
        <v>40</v>
      </c>
      <c r="N6" s="5" t="s">
        <v>33</v>
      </c>
      <c r="O6" s="5" t="s">
        <v>34</v>
      </c>
      <c r="P6" s="5" t="str">
        <f>IF(hospital_patient_unclean_500__2[[#This Row],[Age]]&lt;18,"0-17",IF(hospital_patient_unclean_500__2[[#This Row],[Age]]&lt;36,"18-35",IF(hospital_patient_unclean_500__2[[#This Row],[Age]]&lt;51,"36-50",IF(hospital_patient_unclean_500__2[[#This Row],[Age]]&lt;66,"51-65","66+"))))</f>
        <v>51-65</v>
      </c>
    </row>
    <row r="7" spans="1:16" x14ac:dyDescent="0.3">
      <c r="A7" s="5" t="s">
        <v>57</v>
      </c>
      <c r="B7" s="5" t="s">
        <v>58</v>
      </c>
      <c r="C7" s="6">
        <v>6</v>
      </c>
      <c r="D7" s="5" t="s">
        <v>51</v>
      </c>
      <c r="E7" s="5" t="s">
        <v>37</v>
      </c>
      <c r="F7" s="5" t="s">
        <v>38</v>
      </c>
      <c r="G7" s="5" t="s">
        <v>125</v>
      </c>
      <c r="H7" s="7">
        <v>45941</v>
      </c>
      <c r="I7" s="7">
        <v>45948</v>
      </c>
      <c r="J7" s="5" t="s">
        <v>819</v>
      </c>
      <c r="K7" s="5" t="s">
        <v>59</v>
      </c>
      <c r="L7" s="8">
        <v>235214.45</v>
      </c>
      <c r="M7" s="5" t="s">
        <v>60</v>
      </c>
      <c r="N7" s="5" t="s">
        <v>61</v>
      </c>
      <c r="O7" s="5" t="s">
        <v>819</v>
      </c>
      <c r="P7" s="5" t="str">
        <f>IF(hospital_patient_unclean_500__2[[#This Row],[Age]]&lt;18,"0-17",IF(hospital_patient_unclean_500__2[[#This Row],[Age]]&lt;36,"18-35",IF(hospital_patient_unclean_500__2[[#This Row],[Age]]&lt;51,"36-50",IF(hospital_patient_unclean_500__2[[#This Row],[Age]]&lt;66,"51-65","66+"))))</f>
        <v>0-17</v>
      </c>
    </row>
    <row r="8" spans="1:16" x14ac:dyDescent="0.3">
      <c r="A8" s="5" t="s">
        <v>62</v>
      </c>
      <c r="B8" s="5" t="s">
        <v>63</v>
      </c>
      <c r="C8" s="6">
        <v>44</v>
      </c>
      <c r="D8" s="5" t="s">
        <v>17</v>
      </c>
      <c r="E8" s="5" t="s">
        <v>64</v>
      </c>
      <c r="F8" s="5" t="s">
        <v>38</v>
      </c>
      <c r="G8" s="5" t="s">
        <v>819</v>
      </c>
      <c r="H8" s="7">
        <v>45840</v>
      </c>
      <c r="I8" s="7">
        <v>45847</v>
      </c>
      <c r="J8" s="5" t="s">
        <v>828</v>
      </c>
      <c r="K8" s="5" t="s">
        <v>39</v>
      </c>
      <c r="L8" s="8">
        <v>64345.01</v>
      </c>
      <c r="M8" s="5" t="s">
        <v>32</v>
      </c>
      <c r="N8" s="5" t="s">
        <v>65</v>
      </c>
      <c r="O8" s="5" t="s">
        <v>820</v>
      </c>
      <c r="P8" s="5" t="str">
        <f>IF(hospital_patient_unclean_500__2[[#This Row],[Age]]&lt;18,"0-17",IF(hospital_patient_unclean_500__2[[#This Row],[Age]]&lt;36,"18-35",IF(hospital_patient_unclean_500__2[[#This Row],[Age]]&lt;51,"36-50",IF(hospital_patient_unclean_500__2[[#This Row],[Age]]&lt;66,"51-65","66+"))))</f>
        <v>36-50</v>
      </c>
    </row>
    <row r="9" spans="1:16" x14ac:dyDescent="0.3">
      <c r="A9" s="5" t="s">
        <v>66</v>
      </c>
      <c r="B9" s="5" t="s">
        <v>67</v>
      </c>
      <c r="C9" s="6">
        <v>44</v>
      </c>
      <c r="D9" s="5" t="s">
        <v>17</v>
      </c>
      <c r="E9" s="5" t="s">
        <v>68</v>
      </c>
      <c r="F9" s="5" t="s">
        <v>53</v>
      </c>
      <c r="G9" s="5" t="s">
        <v>69</v>
      </c>
      <c r="H9" s="7">
        <v>45714</v>
      </c>
      <c r="I9" s="7">
        <v>45716</v>
      </c>
      <c r="J9" s="5" t="s">
        <v>70</v>
      </c>
      <c r="K9" s="5" t="s">
        <v>71</v>
      </c>
      <c r="L9" s="8">
        <v>51199.6</v>
      </c>
      <c r="M9" s="5" t="s">
        <v>72</v>
      </c>
      <c r="N9" s="5" t="s">
        <v>61</v>
      </c>
      <c r="O9" s="5" t="s">
        <v>820</v>
      </c>
      <c r="P9" s="5" t="str">
        <f>IF(hospital_patient_unclean_500__2[[#This Row],[Age]]&lt;18,"0-17",IF(hospital_patient_unclean_500__2[[#This Row],[Age]]&lt;36,"18-35",IF(hospital_patient_unclean_500__2[[#This Row],[Age]]&lt;51,"36-50",IF(hospital_patient_unclean_500__2[[#This Row],[Age]]&lt;66,"51-65","66+"))))</f>
        <v>36-50</v>
      </c>
    </row>
    <row r="10" spans="1:16" x14ac:dyDescent="0.3">
      <c r="A10" s="5" t="s">
        <v>73</v>
      </c>
      <c r="B10" s="5" t="s">
        <v>74</v>
      </c>
      <c r="C10" s="6">
        <v>82</v>
      </c>
      <c r="D10" s="5" t="s">
        <v>51</v>
      </c>
      <c r="E10" s="5" t="s">
        <v>52</v>
      </c>
      <c r="F10" s="5" t="s">
        <v>28</v>
      </c>
      <c r="G10" s="5" t="s">
        <v>29</v>
      </c>
      <c r="H10" s="7">
        <v>45735</v>
      </c>
      <c r="I10" s="7">
        <v>45741</v>
      </c>
      <c r="J10" s="5" t="s">
        <v>75</v>
      </c>
      <c r="K10" s="5" t="s">
        <v>76</v>
      </c>
      <c r="L10" s="8">
        <v>70846.91</v>
      </c>
      <c r="M10" s="5" t="s">
        <v>72</v>
      </c>
      <c r="N10" s="5" t="s">
        <v>65</v>
      </c>
      <c r="O10" s="5" t="s">
        <v>25</v>
      </c>
      <c r="P10" s="5" t="str">
        <f>IF(hospital_patient_unclean_500__2[[#This Row],[Age]]&lt;18,"0-17",IF(hospital_patient_unclean_500__2[[#This Row],[Age]]&lt;36,"18-35",IF(hospital_patient_unclean_500__2[[#This Row],[Age]]&lt;51,"36-50",IF(hospital_patient_unclean_500__2[[#This Row],[Age]]&lt;66,"51-65","66+"))))</f>
        <v>66+</v>
      </c>
    </row>
    <row r="11" spans="1:16" x14ac:dyDescent="0.3">
      <c r="A11" s="5" t="s">
        <v>77</v>
      </c>
      <c r="B11" s="5" t="s">
        <v>78</v>
      </c>
      <c r="C11" s="6">
        <v>8</v>
      </c>
      <c r="D11" s="5" t="s">
        <v>51</v>
      </c>
      <c r="E11" s="5" t="s">
        <v>18</v>
      </c>
      <c r="F11" s="5" t="s">
        <v>38</v>
      </c>
      <c r="G11" s="5" t="s">
        <v>79</v>
      </c>
      <c r="H11" s="7">
        <v>45680</v>
      </c>
      <c r="I11" s="7">
        <v>45693</v>
      </c>
      <c r="J11" s="5" t="s">
        <v>80</v>
      </c>
      <c r="K11" s="5" t="s">
        <v>81</v>
      </c>
      <c r="L11" s="8">
        <v>293150.34999999998</v>
      </c>
      <c r="M11" s="5" t="s">
        <v>32</v>
      </c>
      <c r="N11" s="5" t="s">
        <v>65</v>
      </c>
      <c r="O11" s="5" t="s">
        <v>34</v>
      </c>
      <c r="P11" s="5" t="str">
        <f>IF(hospital_patient_unclean_500__2[[#This Row],[Age]]&lt;18,"0-17",IF(hospital_patient_unclean_500__2[[#This Row],[Age]]&lt;36,"18-35",IF(hospital_patient_unclean_500__2[[#This Row],[Age]]&lt;51,"36-50",IF(hospital_patient_unclean_500__2[[#This Row],[Age]]&lt;66,"51-65","66+"))))</f>
        <v>0-17</v>
      </c>
    </row>
    <row r="12" spans="1:16" x14ac:dyDescent="0.3">
      <c r="A12" s="5" t="s">
        <v>82</v>
      </c>
      <c r="B12" s="5" t="s">
        <v>83</v>
      </c>
      <c r="C12" s="6">
        <v>22</v>
      </c>
      <c r="D12" s="5" t="s">
        <v>17</v>
      </c>
      <c r="E12" s="5" t="s">
        <v>84</v>
      </c>
      <c r="F12" s="5" t="s">
        <v>44</v>
      </c>
      <c r="G12" s="5" t="s">
        <v>45</v>
      </c>
      <c r="H12" s="7">
        <v>45685</v>
      </c>
      <c r="I12" s="7">
        <v>45702</v>
      </c>
      <c r="J12" s="5" t="s">
        <v>830</v>
      </c>
      <c r="K12" s="5" t="s">
        <v>46</v>
      </c>
      <c r="L12" s="8">
        <v>220027.81</v>
      </c>
      <c r="M12" s="5" t="s">
        <v>40</v>
      </c>
      <c r="N12" s="5" t="s">
        <v>65</v>
      </c>
      <c r="O12" s="5" t="s">
        <v>34</v>
      </c>
      <c r="P12" s="5" t="str">
        <f>IF(hospital_patient_unclean_500__2[[#This Row],[Age]]&lt;18,"0-17",IF(hospital_patient_unclean_500__2[[#This Row],[Age]]&lt;36,"18-35",IF(hospital_patient_unclean_500__2[[#This Row],[Age]]&lt;51,"36-50",IF(hospital_patient_unclean_500__2[[#This Row],[Age]]&lt;66,"51-65","66+"))))</f>
        <v>18-35</v>
      </c>
    </row>
    <row r="13" spans="1:16" x14ac:dyDescent="0.3">
      <c r="A13" s="5" t="s">
        <v>85</v>
      </c>
      <c r="B13" s="5" t="s">
        <v>583</v>
      </c>
      <c r="C13" s="6">
        <v>35</v>
      </c>
      <c r="D13" s="5" t="s">
        <v>51</v>
      </c>
      <c r="E13" s="5" t="s">
        <v>86</v>
      </c>
      <c r="F13" s="5" t="s">
        <v>87</v>
      </c>
      <c r="G13" s="5" t="s">
        <v>88</v>
      </c>
      <c r="H13" s="7">
        <v>45933</v>
      </c>
      <c r="I13" s="7">
        <v>45950</v>
      </c>
      <c r="J13" s="5" t="s">
        <v>89</v>
      </c>
      <c r="K13" s="5" t="s">
        <v>92</v>
      </c>
      <c r="L13" s="8">
        <v>260712.15</v>
      </c>
      <c r="M13" s="5" t="s">
        <v>819</v>
      </c>
      <c r="N13" s="5" t="s">
        <v>48</v>
      </c>
      <c r="O13" s="5" t="s">
        <v>25</v>
      </c>
      <c r="P13" s="5" t="str">
        <f>IF(hospital_patient_unclean_500__2[[#This Row],[Age]]&lt;18,"0-17",IF(hospital_patient_unclean_500__2[[#This Row],[Age]]&lt;36,"18-35",IF(hospital_patient_unclean_500__2[[#This Row],[Age]]&lt;51,"36-50",IF(hospital_patient_unclean_500__2[[#This Row],[Age]]&lt;66,"51-65","66+"))))</f>
        <v>18-35</v>
      </c>
    </row>
    <row r="14" spans="1:16" x14ac:dyDescent="0.3">
      <c r="A14" s="5" t="s">
        <v>90</v>
      </c>
      <c r="B14" s="5" t="s">
        <v>91</v>
      </c>
      <c r="C14" s="6">
        <v>32</v>
      </c>
      <c r="D14" s="5" t="s">
        <v>51</v>
      </c>
      <c r="E14" s="5" t="s">
        <v>64</v>
      </c>
      <c r="F14" s="5" t="s">
        <v>87</v>
      </c>
      <c r="G14" s="5" t="s">
        <v>88</v>
      </c>
      <c r="H14" s="7">
        <v>45968</v>
      </c>
      <c r="I14" s="7">
        <v>45973</v>
      </c>
      <c r="J14" s="5" t="s">
        <v>89</v>
      </c>
      <c r="K14" s="5" t="s">
        <v>92</v>
      </c>
      <c r="L14" s="8">
        <v>278473.99</v>
      </c>
      <c r="M14" s="5" t="s">
        <v>23</v>
      </c>
      <c r="N14" s="5" t="s">
        <v>48</v>
      </c>
      <c r="O14" s="5" t="s">
        <v>93</v>
      </c>
      <c r="P14" s="5" t="str">
        <f>IF(hospital_patient_unclean_500__2[[#This Row],[Age]]&lt;18,"0-17",IF(hospital_patient_unclean_500__2[[#This Row],[Age]]&lt;36,"18-35",IF(hospital_patient_unclean_500__2[[#This Row],[Age]]&lt;51,"36-50",IF(hospital_patient_unclean_500__2[[#This Row],[Age]]&lt;66,"51-65","66+"))))</f>
        <v>18-35</v>
      </c>
    </row>
    <row r="15" spans="1:16" x14ac:dyDescent="0.3">
      <c r="A15" s="5" t="s">
        <v>831</v>
      </c>
      <c r="B15" s="5" t="s">
        <v>50</v>
      </c>
      <c r="C15" s="6">
        <v>82</v>
      </c>
      <c r="D15" s="5" t="s">
        <v>51</v>
      </c>
      <c r="E15" s="5" t="s">
        <v>86</v>
      </c>
      <c r="F15" s="5" t="s">
        <v>19</v>
      </c>
      <c r="G15" s="5" t="s">
        <v>20</v>
      </c>
      <c r="H15" s="7">
        <v>45955</v>
      </c>
      <c r="I15" s="7">
        <v>45966</v>
      </c>
      <c r="J15" s="5" t="s">
        <v>21</v>
      </c>
      <c r="K15" s="5" t="s">
        <v>22</v>
      </c>
      <c r="L15" s="8">
        <v>328729.7</v>
      </c>
      <c r="M15" s="5" t="s">
        <v>40</v>
      </c>
      <c r="N15" s="5" t="s">
        <v>61</v>
      </c>
      <c r="O15" s="5" t="s">
        <v>25</v>
      </c>
      <c r="P15" s="5" t="str">
        <f>IF(hospital_patient_unclean_500__2[[#This Row],[Age]]&lt;18,"0-17",IF(hospital_patient_unclean_500__2[[#This Row],[Age]]&lt;36,"18-35",IF(hospital_patient_unclean_500__2[[#This Row],[Age]]&lt;51,"36-50",IF(hospital_patient_unclean_500__2[[#This Row],[Age]]&lt;66,"51-65","66+"))))</f>
        <v>66+</v>
      </c>
    </row>
    <row r="16" spans="1:16" x14ac:dyDescent="0.3">
      <c r="A16" s="5" t="s">
        <v>94</v>
      </c>
      <c r="B16" s="5" t="s">
        <v>95</v>
      </c>
      <c r="C16" s="6">
        <v>27</v>
      </c>
      <c r="D16" s="5" t="s">
        <v>96</v>
      </c>
      <c r="E16" s="5" t="s">
        <v>64</v>
      </c>
      <c r="F16" s="5" t="s">
        <v>38</v>
      </c>
      <c r="G16" s="5" t="s">
        <v>819</v>
      </c>
      <c r="H16" s="7">
        <v>45747</v>
      </c>
      <c r="I16" s="7">
        <v>45930</v>
      </c>
      <c r="J16" s="5" t="s">
        <v>97</v>
      </c>
      <c r="K16" s="5" t="s">
        <v>98</v>
      </c>
      <c r="L16" s="8">
        <v>75685.5</v>
      </c>
      <c r="M16" s="5" t="s">
        <v>99</v>
      </c>
      <c r="N16" s="5" t="s">
        <v>61</v>
      </c>
      <c r="O16" s="5" t="s">
        <v>25</v>
      </c>
      <c r="P16" s="5" t="str">
        <f>IF(hospital_patient_unclean_500__2[[#This Row],[Age]]&lt;18,"0-17",IF(hospital_patient_unclean_500__2[[#This Row],[Age]]&lt;36,"18-35",IF(hospital_patient_unclean_500__2[[#This Row],[Age]]&lt;51,"36-50",IF(hospital_patient_unclean_500__2[[#This Row],[Age]]&lt;66,"51-65","66+"))))</f>
        <v>18-35</v>
      </c>
    </row>
    <row r="17" spans="1:16" x14ac:dyDescent="0.3">
      <c r="A17" s="5" t="s">
        <v>832</v>
      </c>
      <c r="B17" s="5" t="s">
        <v>100</v>
      </c>
      <c r="C17" s="6">
        <v>30</v>
      </c>
      <c r="D17" s="5" t="s">
        <v>17</v>
      </c>
      <c r="E17" s="5" t="s">
        <v>819</v>
      </c>
      <c r="F17" s="5" t="s">
        <v>28</v>
      </c>
      <c r="G17" s="5" t="s">
        <v>101</v>
      </c>
      <c r="H17" s="7">
        <v>45883</v>
      </c>
      <c r="I17" s="7">
        <v>45894</v>
      </c>
      <c r="J17" s="5" t="s">
        <v>102</v>
      </c>
      <c r="K17" s="5" t="s">
        <v>103</v>
      </c>
      <c r="L17" s="8">
        <v>18589.990000000002</v>
      </c>
      <c r="M17" s="5" t="s">
        <v>47</v>
      </c>
      <c r="N17" s="5" t="s">
        <v>61</v>
      </c>
      <c r="O17" s="5" t="s">
        <v>25</v>
      </c>
      <c r="P17" s="5" t="str">
        <f>IF(hospital_patient_unclean_500__2[[#This Row],[Age]]&lt;18,"0-17",IF(hospital_patient_unclean_500__2[[#This Row],[Age]]&lt;36,"18-35",IF(hospital_patient_unclean_500__2[[#This Row],[Age]]&lt;51,"36-50",IF(hospital_patient_unclean_500__2[[#This Row],[Age]]&lt;66,"51-65","66+"))))</f>
        <v>18-35</v>
      </c>
    </row>
    <row r="18" spans="1:16" x14ac:dyDescent="0.3">
      <c r="A18" s="5" t="s">
        <v>104</v>
      </c>
      <c r="B18" s="5" t="s">
        <v>95</v>
      </c>
      <c r="C18" s="6">
        <v>18</v>
      </c>
      <c r="D18" s="5" t="s">
        <v>17</v>
      </c>
      <c r="E18" s="5" t="s">
        <v>18</v>
      </c>
      <c r="F18" s="5" t="s">
        <v>19</v>
      </c>
      <c r="G18" s="5" t="s">
        <v>105</v>
      </c>
      <c r="H18" s="7">
        <v>45840</v>
      </c>
      <c r="I18" s="7">
        <v>45841</v>
      </c>
      <c r="J18" s="5" t="s">
        <v>21</v>
      </c>
      <c r="K18" s="5" t="s">
        <v>22</v>
      </c>
      <c r="L18" s="8">
        <v>121300.98</v>
      </c>
      <c r="M18" s="5" t="s">
        <v>72</v>
      </c>
      <c r="N18" s="5" t="s">
        <v>48</v>
      </c>
      <c r="O18" s="5" t="s">
        <v>820</v>
      </c>
      <c r="P18" s="5" t="str">
        <f>IF(hospital_patient_unclean_500__2[[#This Row],[Age]]&lt;18,"0-17",IF(hospital_patient_unclean_500__2[[#This Row],[Age]]&lt;36,"18-35",IF(hospital_patient_unclean_500__2[[#This Row],[Age]]&lt;51,"36-50",IF(hospital_patient_unclean_500__2[[#This Row],[Age]]&lt;66,"51-65","66+"))))</f>
        <v>18-35</v>
      </c>
    </row>
    <row r="19" spans="1:16" x14ac:dyDescent="0.3">
      <c r="A19" s="5" t="s">
        <v>833</v>
      </c>
      <c r="B19" s="5" t="s">
        <v>106</v>
      </c>
      <c r="C19" s="6">
        <v>22</v>
      </c>
      <c r="D19" s="5" t="s">
        <v>51</v>
      </c>
      <c r="E19" s="5" t="s">
        <v>18</v>
      </c>
      <c r="F19" s="5" t="s">
        <v>53</v>
      </c>
      <c r="G19" s="5" t="s">
        <v>819</v>
      </c>
      <c r="H19" s="7">
        <v>45771</v>
      </c>
      <c r="I19" s="7">
        <v>45889</v>
      </c>
      <c r="J19" s="5" t="s">
        <v>107</v>
      </c>
      <c r="K19" s="5" t="s">
        <v>108</v>
      </c>
      <c r="L19" s="8">
        <v>38856.69</v>
      </c>
      <c r="M19" s="5" t="s">
        <v>32</v>
      </c>
      <c r="N19" s="5" t="s">
        <v>65</v>
      </c>
      <c r="O19" s="5" t="s">
        <v>820</v>
      </c>
      <c r="P19" s="5" t="str">
        <f>IF(hospital_patient_unclean_500__2[[#This Row],[Age]]&lt;18,"0-17",IF(hospital_patient_unclean_500__2[[#This Row],[Age]]&lt;36,"18-35",IF(hospital_patient_unclean_500__2[[#This Row],[Age]]&lt;51,"36-50",IF(hospital_patient_unclean_500__2[[#This Row],[Age]]&lt;66,"51-65","66+"))))</f>
        <v>18-35</v>
      </c>
    </row>
    <row r="20" spans="1:16" x14ac:dyDescent="0.3">
      <c r="A20" s="5" t="s">
        <v>109</v>
      </c>
      <c r="B20" s="5" t="s">
        <v>110</v>
      </c>
      <c r="C20" s="6">
        <v>0</v>
      </c>
      <c r="D20" s="5" t="s">
        <v>51</v>
      </c>
      <c r="E20" s="5" t="s">
        <v>111</v>
      </c>
      <c r="F20" s="5" t="s">
        <v>87</v>
      </c>
      <c r="G20" s="5" t="s">
        <v>112</v>
      </c>
      <c r="H20" s="7">
        <v>45927</v>
      </c>
      <c r="I20" s="7">
        <v>45937</v>
      </c>
      <c r="J20" s="5" t="s">
        <v>171</v>
      </c>
      <c r="K20" s="5" t="s">
        <v>113</v>
      </c>
      <c r="L20" s="8">
        <v>102930.63</v>
      </c>
      <c r="M20" s="5" t="s">
        <v>40</v>
      </c>
      <c r="N20" s="5" t="s">
        <v>65</v>
      </c>
      <c r="O20" s="5" t="s">
        <v>25</v>
      </c>
      <c r="P20" s="5" t="str">
        <f>IF(hospital_patient_unclean_500__2[[#This Row],[Age]]&lt;18,"0-17",IF(hospital_patient_unclean_500__2[[#This Row],[Age]]&lt;36,"18-35",IF(hospital_patient_unclean_500__2[[#This Row],[Age]]&lt;51,"36-50",IF(hospital_patient_unclean_500__2[[#This Row],[Age]]&lt;66,"51-65","66+"))))</f>
        <v>0-17</v>
      </c>
    </row>
    <row r="21" spans="1:16" x14ac:dyDescent="0.3">
      <c r="A21" s="5" t="s">
        <v>114</v>
      </c>
      <c r="B21" s="5" t="s">
        <v>115</v>
      </c>
      <c r="C21" s="6">
        <v>78</v>
      </c>
      <c r="D21" s="5" t="s">
        <v>51</v>
      </c>
      <c r="E21" s="5" t="s">
        <v>52</v>
      </c>
      <c r="F21" s="5" t="s">
        <v>38</v>
      </c>
      <c r="G21" s="5" t="s">
        <v>79</v>
      </c>
      <c r="H21" s="7">
        <v>45680</v>
      </c>
      <c r="I21" s="7">
        <v>45853</v>
      </c>
      <c r="J21" s="5" t="s">
        <v>80</v>
      </c>
      <c r="K21" s="5" t="s">
        <v>81</v>
      </c>
      <c r="L21" s="8">
        <v>296127.5</v>
      </c>
      <c r="M21" s="5" t="s">
        <v>72</v>
      </c>
      <c r="N21" s="5" t="s">
        <v>61</v>
      </c>
      <c r="O21" s="5" t="s">
        <v>41</v>
      </c>
      <c r="P21" s="5" t="str">
        <f>IF(hospital_patient_unclean_500__2[[#This Row],[Age]]&lt;18,"0-17",IF(hospital_patient_unclean_500__2[[#This Row],[Age]]&lt;36,"18-35",IF(hospital_patient_unclean_500__2[[#This Row],[Age]]&lt;51,"36-50",IF(hospital_patient_unclean_500__2[[#This Row],[Age]]&lt;66,"51-65","66+"))))</f>
        <v>66+</v>
      </c>
    </row>
    <row r="22" spans="1:16" x14ac:dyDescent="0.3">
      <c r="A22" s="5" t="s">
        <v>116</v>
      </c>
      <c r="B22" s="5" t="s">
        <v>117</v>
      </c>
      <c r="C22" s="6">
        <v>33</v>
      </c>
      <c r="D22" s="5" t="s">
        <v>51</v>
      </c>
      <c r="E22" s="5" t="s">
        <v>68</v>
      </c>
      <c r="F22" s="5" t="s">
        <v>87</v>
      </c>
      <c r="G22" s="5" t="s">
        <v>112</v>
      </c>
      <c r="H22" s="7">
        <v>45760</v>
      </c>
      <c r="I22" s="7">
        <v>45768</v>
      </c>
      <c r="J22" s="5" t="s">
        <v>89</v>
      </c>
      <c r="K22" s="5" t="s">
        <v>92</v>
      </c>
      <c r="L22" s="8">
        <v>171483.51999999999</v>
      </c>
      <c r="M22" s="5" t="s">
        <v>72</v>
      </c>
      <c r="N22" s="5" t="s">
        <v>48</v>
      </c>
      <c r="O22" s="5" t="s">
        <v>820</v>
      </c>
      <c r="P22" s="5" t="str">
        <f>IF(hospital_patient_unclean_500__2[[#This Row],[Age]]&lt;18,"0-17",IF(hospital_patient_unclean_500__2[[#This Row],[Age]]&lt;36,"18-35",IF(hospital_patient_unclean_500__2[[#This Row],[Age]]&lt;51,"36-50",IF(hospital_patient_unclean_500__2[[#This Row],[Age]]&lt;66,"51-65","66+"))))</f>
        <v>18-35</v>
      </c>
    </row>
    <row r="23" spans="1:16" x14ac:dyDescent="0.3">
      <c r="A23" s="5" t="s">
        <v>118</v>
      </c>
      <c r="B23" s="5" t="s">
        <v>119</v>
      </c>
      <c r="C23" s="6">
        <v>38</v>
      </c>
      <c r="D23" s="5" t="s">
        <v>17</v>
      </c>
      <c r="E23" s="5" t="s">
        <v>37</v>
      </c>
      <c r="F23" s="5" t="s">
        <v>19</v>
      </c>
      <c r="G23" s="5" t="s">
        <v>20</v>
      </c>
      <c r="H23" s="7">
        <v>45663</v>
      </c>
      <c r="I23" s="7">
        <v>45665</v>
      </c>
      <c r="J23" s="5" t="s">
        <v>120</v>
      </c>
      <c r="K23" s="5" t="s">
        <v>121</v>
      </c>
      <c r="L23" s="8">
        <v>218725.35</v>
      </c>
      <c r="M23" s="5" t="s">
        <v>47</v>
      </c>
      <c r="N23" s="5" t="s">
        <v>61</v>
      </c>
      <c r="O23" s="5" t="s">
        <v>34</v>
      </c>
      <c r="P23" s="5" t="str">
        <f>IF(hospital_patient_unclean_500__2[[#This Row],[Age]]&lt;18,"0-17",IF(hospital_patient_unclean_500__2[[#This Row],[Age]]&lt;36,"18-35",IF(hospital_patient_unclean_500__2[[#This Row],[Age]]&lt;51,"36-50",IF(hospital_patient_unclean_500__2[[#This Row],[Age]]&lt;66,"51-65","66+"))))</f>
        <v>36-50</v>
      </c>
    </row>
    <row r="24" spans="1:16" x14ac:dyDescent="0.3">
      <c r="A24" s="5" t="s">
        <v>122</v>
      </c>
      <c r="B24" s="5" t="s">
        <v>123</v>
      </c>
      <c r="C24" s="6">
        <v>15</v>
      </c>
      <c r="D24" s="5" t="s">
        <v>17</v>
      </c>
      <c r="E24" s="5" t="s">
        <v>124</v>
      </c>
      <c r="F24" s="5" t="s">
        <v>38</v>
      </c>
      <c r="G24" s="5" t="s">
        <v>125</v>
      </c>
      <c r="H24" s="7">
        <v>45779</v>
      </c>
      <c r="I24" s="7">
        <v>45799</v>
      </c>
      <c r="J24" s="5" t="s">
        <v>80</v>
      </c>
      <c r="K24" s="5" t="s">
        <v>81</v>
      </c>
      <c r="L24" s="8">
        <v>17679.5</v>
      </c>
      <c r="M24" s="5" t="s">
        <v>99</v>
      </c>
      <c r="N24" s="5" t="s">
        <v>48</v>
      </c>
      <c r="O24" s="5" t="s">
        <v>41</v>
      </c>
      <c r="P24" s="5" t="str">
        <f>IF(hospital_patient_unclean_500__2[[#This Row],[Age]]&lt;18,"0-17",IF(hospital_patient_unclean_500__2[[#This Row],[Age]]&lt;36,"18-35",IF(hospital_patient_unclean_500__2[[#This Row],[Age]]&lt;51,"36-50",IF(hospital_patient_unclean_500__2[[#This Row],[Age]]&lt;66,"51-65","66+"))))</f>
        <v>0-17</v>
      </c>
    </row>
    <row r="25" spans="1:16" x14ac:dyDescent="0.3">
      <c r="A25" s="5" t="s">
        <v>126</v>
      </c>
      <c r="B25" s="5" t="s">
        <v>127</v>
      </c>
      <c r="C25" s="6">
        <v>33</v>
      </c>
      <c r="D25" s="5" t="s">
        <v>51</v>
      </c>
      <c r="E25" s="5" t="s">
        <v>86</v>
      </c>
      <c r="F25" s="5" t="s">
        <v>53</v>
      </c>
      <c r="G25" s="5" t="s">
        <v>819</v>
      </c>
      <c r="H25" s="7">
        <v>45926</v>
      </c>
      <c r="I25" s="7">
        <v>45932</v>
      </c>
      <c r="J25" s="5" t="s">
        <v>107</v>
      </c>
      <c r="K25" s="5" t="s">
        <v>108</v>
      </c>
      <c r="L25" s="8">
        <v>345599.6</v>
      </c>
      <c r="M25" s="5" t="s">
        <v>72</v>
      </c>
      <c r="N25" s="5" t="s">
        <v>819</v>
      </c>
      <c r="O25" s="5" t="s">
        <v>34</v>
      </c>
      <c r="P25" s="5" t="str">
        <f>IF(hospital_patient_unclean_500__2[[#This Row],[Age]]&lt;18,"0-17",IF(hospital_patient_unclean_500__2[[#This Row],[Age]]&lt;36,"18-35",IF(hospital_patient_unclean_500__2[[#This Row],[Age]]&lt;51,"36-50",IF(hospital_patient_unclean_500__2[[#This Row],[Age]]&lt;66,"51-65","66+"))))</f>
        <v>18-35</v>
      </c>
    </row>
    <row r="26" spans="1:16" x14ac:dyDescent="0.3">
      <c r="A26" s="5" t="s">
        <v>128</v>
      </c>
      <c r="B26" s="5" t="s">
        <v>129</v>
      </c>
      <c r="C26" s="6">
        <v>23</v>
      </c>
      <c r="D26" s="5" t="s">
        <v>17</v>
      </c>
      <c r="E26" s="5" t="s">
        <v>18</v>
      </c>
      <c r="F26" s="5" t="s">
        <v>19</v>
      </c>
      <c r="G26" s="5" t="s">
        <v>105</v>
      </c>
      <c r="H26" s="7">
        <v>45804</v>
      </c>
      <c r="I26" s="7">
        <v>45822</v>
      </c>
      <c r="J26" s="5" t="s">
        <v>120</v>
      </c>
      <c r="K26" s="5" t="s">
        <v>121</v>
      </c>
      <c r="L26" s="8">
        <v>6379.01</v>
      </c>
      <c r="M26" s="5" t="s">
        <v>32</v>
      </c>
      <c r="N26" s="5" t="s">
        <v>24</v>
      </c>
      <c r="O26" s="5" t="s">
        <v>34</v>
      </c>
      <c r="P26" s="5" t="str">
        <f>IF(hospital_patient_unclean_500__2[[#This Row],[Age]]&lt;18,"0-17",IF(hospital_patient_unclean_500__2[[#This Row],[Age]]&lt;36,"18-35",IF(hospital_patient_unclean_500__2[[#This Row],[Age]]&lt;51,"36-50",IF(hospital_patient_unclean_500__2[[#This Row],[Age]]&lt;66,"51-65","66+"))))</f>
        <v>18-35</v>
      </c>
    </row>
    <row r="27" spans="1:16" x14ac:dyDescent="0.3">
      <c r="A27" s="5" t="s">
        <v>130</v>
      </c>
      <c r="B27" s="5" t="s">
        <v>131</v>
      </c>
      <c r="C27" s="6">
        <v>81</v>
      </c>
      <c r="D27" s="5" t="s">
        <v>51</v>
      </c>
      <c r="E27" s="5" t="s">
        <v>111</v>
      </c>
      <c r="F27" s="5" t="s">
        <v>132</v>
      </c>
      <c r="G27" s="5" t="s">
        <v>133</v>
      </c>
      <c r="H27" s="7">
        <v>45945</v>
      </c>
      <c r="I27" s="7">
        <v>45945</v>
      </c>
      <c r="J27" s="5" t="s">
        <v>134</v>
      </c>
      <c r="K27" s="5" t="s">
        <v>135</v>
      </c>
      <c r="L27" s="8">
        <v>345147.17</v>
      </c>
      <c r="M27" s="5" t="s">
        <v>99</v>
      </c>
      <c r="N27" s="5" t="s">
        <v>61</v>
      </c>
      <c r="O27" s="5" t="s">
        <v>41</v>
      </c>
      <c r="P27" s="5" t="str">
        <f>IF(hospital_patient_unclean_500__2[[#This Row],[Age]]&lt;18,"0-17",IF(hospital_patient_unclean_500__2[[#This Row],[Age]]&lt;36,"18-35",IF(hospital_patient_unclean_500__2[[#This Row],[Age]]&lt;51,"36-50",IF(hospital_patient_unclean_500__2[[#This Row],[Age]]&lt;66,"51-65","66+"))))</f>
        <v>66+</v>
      </c>
    </row>
    <row r="28" spans="1:16" x14ac:dyDescent="0.3">
      <c r="A28" s="5" t="s">
        <v>136</v>
      </c>
      <c r="B28" s="5" t="s">
        <v>137</v>
      </c>
      <c r="C28" s="6">
        <v>42</v>
      </c>
      <c r="D28" s="5" t="s">
        <v>96</v>
      </c>
      <c r="E28" s="5" t="s">
        <v>37</v>
      </c>
      <c r="F28" s="5" t="s">
        <v>132</v>
      </c>
      <c r="G28" s="5" t="s">
        <v>138</v>
      </c>
      <c r="H28" s="7">
        <v>45944</v>
      </c>
      <c r="I28" s="7">
        <v>45962</v>
      </c>
      <c r="J28" s="5" t="s">
        <v>139</v>
      </c>
      <c r="K28" s="5" t="s">
        <v>140</v>
      </c>
      <c r="L28" s="8">
        <v>192645.57</v>
      </c>
      <c r="M28" s="5" t="s">
        <v>47</v>
      </c>
      <c r="N28" s="5" t="s">
        <v>48</v>
      </c>
      <c r="O28" s="5" t="s">
        <v>25</v>
      </c>
      <c r="P28" s="5" t="str">
        <f>IF(hospital_patient_unclean_500__2[[#This Row],[Age]]&lt;18,"0-17",IF(hospital_patient_unclean_500__2[[#This Row],[Age]]&lt;36,"18-35",IF(hospital_patient_unclean_500__2[[#This Row],[Age]]&lt;51,"36-50",IF(hospital_patient_unclean_500__2[[#This Row],[Age]]&lt;66,"51-65","66+"))))</f>
        <v>36-50</v>
      </c>
    </row>
    <row r="29" spans="1:16" x14ac:dyDescent="0.3">
      <c r="A29" s="5" t="s">
        <v>141</v>
      </c>
      <c r="B29" s="5" t="s">
        <v>142</v>
      </c>
      <c r="C29" s="6">
        <v>60</v>
      </c>
      <c r="D29" s="5" t="s">
        <v>51</v>
      </c>
      <c r="E29" s="5" t="s">
        <v>68</v>
      </c>
      <c r="F29" s="5" t="s">
        <v>53</v>
      </c>
      <c r="G29" s="5" t="s">
        <v>143</v>
      </c>
      <c r="H29" s="7">
        <v>45803</v>
      </c>
      <c r="I29" s="7">
        <v>45815</v>
      </c>
      <c r="J29" s="5" t="s">
        <v>107</v>
      </c>
      <c r="K29" s="5" t="s">
        <v>108</v>
      </c>
      <c r="L29" s="8">
        <v>264892.76</v>
      </c>
      <c r="M29" s="5" t="s">
        <v>60</v>
      </c>
      <c r="N29" s="5" t="s">
        <v>61</v>
      </c>
      <c r="O29" s="5" t="s">
        <v>819</v>
      </c>
      <c r="P29" s="5" t="str">
        <f>IF(hospital_patient_unclean_500__2[[#This Row],[Age]]&lt;18,"0-17",IF(hospital_patient_unclean_500__2[[#This Row],[Age]]&lt;36,"18-35",IF(hospital_patient_unclean_500__2[[#This Row],[Age]]&lt;51,"36-50",IF(hospital_patient_unclean_500__2[[#This Row],[Age]]&lt;66,"51-65","66+"))))</f>
        <v>51-65</v>
      </c>
    </row>
    <row r="30" spans="1:16" x14ac:dyDescent="0.3">
      <c r="A30" s="5" t="s">
        <v>144</v>
      </c>
      <c r="B30" s="5" t="s">
        <v>145</v>
      </c>
      <c r="C30" s="6">
        <v>1</v>
      </c>
      <c r="D30" s="5" t="s">
        <v>17</v>
      </c>
      <c r="E30" s="5" t="s">
        <v>111</v>
      </c>
      <c r="F30" s="5" t="s">
        <v>38</v>
      </c>
      <c r="G30" s="5" t="s">
        <v>125</v>
      </c>
      <c r="H30" s="7">
        <v>45959</v>
      </c>
      <c r="I30" s="7">
        <v>45968</v>
      </c>
      <c r="J30" s="5" t="s">
        <v>819</v>
      </c>
      <c r="K30" s="5" t="s">
        <v>98</v>
      </c>
      <c r="L30" s="8">
        <v>273333.11</v>
      </c>
      <c r="M30" s="5" t="s">
        <v>23</v>
      </c>
      <c r="N30" s="5" t="s">
        <v>65</v>
      </c>
      <c r="O30" s="5" t="s">
        <v>25</v>
      </c>
      <c r="P30" s="5" t="str">
        <f>IF(hospital_patient_unclean_500__2[[#This Row],[Age]]&lt;18,"0-17",IF(hospital_patient_unclean_500__2[[#This Row],[Age]]&lt;36,"18-35",IF(hospital_patient_unclean_500__2[[#This Row],[Age]]&lt;51,"36-50",IF(hospital_patient_unclean_500__2[[#This Row],[Age]]&lt;66,"51-65","66+"))))</f>
        <v>0-17</v>
      </c>
    </row>
    <row r="31" spans="1:16" x14ac:dyDescent="0.3">
      <c r="A31" s="5" t="s">
        <v>146</v>
      </c>
      <c r="B31" s="5" t="s">
        <v>821</v>
      </c>
      <c r="C31" s="6">
        <v>79</v>
      </c>
      <c r="D31" s="5" t="s">
        <v>17</v>
      </c>
      <c r="E31" s="5" t="s">
        <v>43</v>
      </c>
      <c r="F31" s="5" t="s">
        <v>132</v>
      </c>
      <c r="G31" s="5" t="s">
        <v>133</v>
      </c>
      <c r="H31" s="7">
        <v>45809</v>
      </c>
      <c r="I31" s="7">
        <v>45834</v>
      </c>
      <c r="J31" s="5" t="s">
        <v>147</v>
      </c>
      <c r="K31" s="5" t="s">
        <v>148</v>
      </c>
      <c r="L31" s="8">
        <v>222932.36</v>
      </c>
      <c r="M31" s="5" t="s">
        <v>47</v>
      </c>
      <c r="N31" s="5" t="s">
        <v>24</v>
      </c>
      <c r="O31" s="5" t="s">
        <v>41</v>
      </c>
      <c r="P31" s="5" t="str">
        <f>IF(hospital_patient_unclean_500__2[[#This Row],[Age]]&lt;18,"0-17",IF(hospital_patient_unclean_500__2[[#This Row],[Age]]&lt;36,"18-35",IF(hospital_patient_unclean_500__2[[#This Row],[Age]]&lt;51,"36-50",IF(hospital_patient_unclean_500__2[[#This Row],[Age]]&lt;66,"51-65","66+"))))</f>
        <v>66+</v>
      </c>
    </row>
    <row r="32" spans="1:16" x14ac:dyDescent="0.3">
      <c r="A32" s="5" t="s">
        <v>149</v>
      </c>
      <c r="B32" s="5" t="s">
        <v>150</v>
      </c>
      <c r="C32" s="6">
        <v>65</v>
      </c>
      <c r="D32" s="5" t="s">
        <v>51</v>
      </c>
      <c r="E32" s="5" t="s">
        <v>68</v>
      </c>
      <c r="F32" s="5" t="s">
        <v>28</v>
      </c>
      <c r="G32" s="5" t="s">
        <v>29</v>
      </c>
      <c r="H32" s="7">
        <v>45699</v>
      </c>
      <c r="I32" s="7">
        <v>45700</v>
      </c>
      <c r="J32" s="5" t="s">
        <v>30</v>
      </c>
      <c r="K32" s="5" t="s">
        <v>819</v>
      </c>
      <c r="L32" s="8">
        <v>83463</v>
      </c>
      <c r="M32" s="5" t="s">
        <v>40</v>
      </c>
      <c r="N32" s="5" t="s">
        <v>65</v>
      </c>
      <c r="O32" s="5" t="s">
        <v>25</v>
      </c>
      <c r="P32" s="5" t="str">
        <f>IF(hospital_patient_unclean_500__2[[#This Row],[Age]]&lt;18,"0-17",IF(hospital_patient_unclean_500__2[[#This Row],[Age]]&lt;36,"18-35",IF(hospital_patient_unclean_500__2[[#This Row],[Age]]&lt;51,"36-50",IF(hospital_patient_unclean_500__2[[#This Row],[Age]]&lt;66,"51-65","66+"))))</f>
        <v>51-65</v>
      </c>
    </row>
    <row r="33" spans="1:16" x14ac:dyDescent="0.3">
      <c r="A33" s="5" t="s">
        <v>151</v>
      </c>
      <c r="B33" s="5" t="s">
        <v>152</v>
      </c>
      <c r="C33" s="6">
        <v>65</v>
      </c>
      <c r="D33" s="5" t="s">
        <v>17</v>
      </c>
      <c r="E33" s="5" t="s">
        <v>111</v>
      </c>
      <c r="F33" s="5" t="s">
        <v>44</v>
      </c>
      <c r="G33" s="5" t="s">
        <v>153</v>
      </c>
      <c r="H33" s="7">
        <v>45681</v>
      </c>
      <c r="I33" s="7">
        <v>45698</v>
      </c>
      <c r="J33" s="5" t="s">
        <v>154</v>
      </c>
      <c r="K33" s="5" t="s">
        <v>155</v>
      </c>
      <c r="L33" s="8">
        <v>312331.51</v>
      </c>
      <c r="M33" s="5" t="s">
        <v>60</v>
      </c>
      <c r="N33" s="5" t="s">
        <v>61</v>
      </c>
      <c r="O33" s="5" t="s">
        <v>93</v>
      </c>
      <c r="P33" s="5" t="str">
        <f>IF(hospital_patient_unclean_500__2[[#This Row],[Age]]&lt;18,"0-17",IF(hospital_patient_unclean_500__2[[#This Row],[Age]]&lt;36,"18-35",IF(hospital_patient_unclean_500__2[[#This Row],[Age]]&lt;51,"36-50",IF(hospital_patient_unclean_500__2[[#This Row],[Age]]&lt;66,"51-65","66+"))))</f>
        <v>51-65</v>
      </c>
    </row>
    <row r="34" spans="1:16" x14ac:dyDescent="0.3">
      <c r="A34" s="5" t="s">
        <v>156</v>
      </c>
      <c r="B34" s="5" t="s">
        <v>157</v>
      </c>
      <c r="C34" s="6">
        <v>73</v>
      </c>
      <c r="D34" s="5" t="s">
        <v>51</v>
      </c>
      <c r="E34" s="5" t="s">
        <v>84</v>
      </c>
      <c r="F34" s="5" t="s">
        <v>19</v>
      </c>
      <c r="G34" s="5" t="s">
        <v>158</v>
      </c>
      <c r="H34" s="7">
        <v>45708</v>
      </c>
      <c r="I34" s="7">
        <v>45712</v>
      </c>
      <c r="J34" s="5" t="s">
        <v>21</v>
      </c>
      <c r="K34" s="5" t="s">
        <v>22</v>
      </c>
      <c r="L34" s="8">
        <v>117030.29</v>
      </c>
      <c r="M34" s="5" t="s">
        <v>72</v>
      </c>
      <c r="N34" s="5" t="s">
        <v>33</v>
      </c>
      <c r="O34" s="5" t="s">
        <v>820</v>
      </c>
      <c r="P34" s="5" t="str">
        <f>IF(hospital_patient_unclean_500__2[[#This Row],[Age]]&lt;18,"0-17",IF(hospital_patient_unclean_500__2[[#This Row],[Age]]&lt;36,"18-35",IF(hospital_patient_unclean_500__2[[#This Row],[Age]]&lt;51,"36-50",IF(hospital_patient_unclean_500__2[[#This Row],[Age]]&lt;66,"51-65","66+"))))</f>
        <v>66+</v>
      </c>
    </row>
    <row r="35" spans="1:16" x14ac:dyDescent="0.3">
      <c r="A35" s="5" t="s">
        <v>834</v>
      </c>
      <c r="B35" s="5" t="s">
        <v>159</v>
      </c>
      <c r="C35" s="6">
        <v>9</v>
      </c>
      <c r="D35" s="5" t="s">
        <v>17</v>
      </c>
      <c r="E35" s="5" t="s">
        <v>64</v>
      </c>
      <c r="F35" s="5" t="s">
        <v>44</v>
      </c>
      <c r="G35" s="5" t="s">
        <v>45</v>
      </c>
      <c r="H35" s="7">
        <v>45829</v>
      </c>
      <c r="I35" s="7">
        <v>45847</v>
      </c>
      <c r="J35" s="5" t="s">
        <v>232</v>
      </c>
      <c r="K35" s="5" t="s">
        <v>160</v>
      </c>
      <c r="L35" s="8">
        <v>17481.34</v>
      </c>
      <c r="M35" s="5" t="s">
        <v>72</v>
      </c>
      <c r="N35" s="5" t="s">
        <v>65</v>
      </c>
      <c r="O35" s="5" t="s">
        <v>93</v>
      </c>
      <c r="P35" s="5" t="str">
        <f>IF(hospital_patient_unclean_500__2[[#This Row],[Age]]&lt;18,"0-17",IF(hospital_patient_unclean_500__2[[#This Row],[Age]]&lt;36,"18-35",IF(hospital_patient_unclean_500__2[[#This Row],[Age]]&lt;51,"36-50",IF(hospital_patient_unclean_500__2[[#This Row],[Age]]&lt;66,"51-65","66+"))))</f>
        <v>0-17</v>
      </c>
    </row>
    <row r="36" spans="1:16" x14ac:dyDescent="0.3">
      <c r="A36" s="5" t="s">
        <v>161</v>
      </c>
      <c r="B36" s="5" t="s">
        <v>162</v>
      </c>
      <c r="C36" s="6">
        <v>14</v>
      </c>
      <c r="D36" s="5" t="s">
        <v>17</v>
      </c>
      <c r="E36" s="5" t="s">
        <v>111</v>
      </c>
      <c r="F36" s="5" t="s">
        <v>53</v>
      </c>
      <c r="G36" s="5" t="s">
        <v>143</v>
      </c>
      <c r="H36" s="7">
        <v>45784</v>
      </c>
      <c r="I36" s="7">
        <v>45789</v>
      </c>
      <c r="J36" s="5" t="s">
        <v>70</v>
      </c>
      <c r="K36" s="5" t="s">
        <v>71</v>
      </c>
      <c r="L36" s="8">
        <v>42926.97</v>
      </c>
      <c r="M36" s="5" t="s">
        <v>60</v>
      </c>
      <c r="N36" s="5" t="s">
        <v>61</v>
      </c>
      <c r="O36" s="5" t="s">
        <v>820</v>
      </c>
      <c r="P36" s="5" t="str">
        <f>IF(hospital_patient_unclean_500__2[[#This Row],[Age]]&lt;18,"0-17",IF(hospital_patient_unclean_500__2[[#This Row],[Age]]&lt;36,"18-35",IF(hospital_patient_unclean_500__2[[#This Row],[Age]]&lt;51,"36-50",IF(hospital_patient_unclean_500__2[[#This Row],[Age]]&lt;66,"51-65","66+"))))</f>
        <v>0-17</v>
      </c>
    </row>
    <row r="37" spans="1:16" x14ac:dyDescent="0.3">
      <c r="A37" s="5" t="s">
        <v>163</v>
      </c>
      <c r="B37" s="5" t="s">
        <v>164</v>
      </c>
      <c r="C37" s="6">
        <v>38</v>
      </c>
      <c r="D37" s="5" t="s">
        <v>51</v>
      </c>
      <c r="E37" s="5" t="s">
        <v>68</v>
      </c>
      <c r="F37" s="5" t="s">
        <v>87</v>
      </c>
      <c r="G37" s="5" t="s">
        <v>324</v>
      </c>
      <c r="H37" s="7">
        <v>45860</v>
      </c>
      <c r="I37" s="7">
        <v>45860</v>
      </c>
      <c r="J37" s="5" t="s">
        <v>89</v>
      </c>
      <c r="K37" s="5" t="s">
        <v>92</v>
      </c>
      <c r="L37" s="8">
        <v>136077.35999999999</v>
      </c>
      <c r="M37" s="5" t="s">
        <v>72</v>
      </c>
      <c r="N37" s="5" t="s">
        <v>61</v>
      </c>
      <c r="O37" s="5" t="s">
        <v>93</v>
      </c>
      <c r="P37" s="5" t="str">
        <f>IF(hospital_patient_unclean_500__2[[#This Row],[Age]]&lt;18,"0-17",IF(hospital_patient_unclean_500__2[[#This Row],[Age]]&lt;36,"18-35",IF(hospital_patient_unclean_500__2[[#This Row],[Age]]&lt;51,"36-50",IF(hospital_patient_unclean_500__2[[#This Row],[Age]]&lt;66,"51-65","66+"))))</f>
        <v>36-50</v>
      </c>
    </row>
    <row r="38" spans="1:16" x14ac:dyDescent="0.3">
      <c r="A38" s="5" t="s">
        <v>165</v>
      </c>
      <c r="B38" s="5" t="s">
        <v>166</v>
      </c>
      <c r="C38" s="6">
        <v>44</v>
      </c>
      <c r="D38" s="5" t="s">
        <v>51</v>
      </c>
      <c r="E38" s="5" t="s">
        <v>18</v>
      </c>
      <c r="F38" s="5" t="s">
        <v>38</v>
      </c>
      <c r="G38" s="5" t="s">
        <v>167</v>
      </c>
      <c r="H38" s="7">
        <v>45935</v>
      </c>
      <c r="I38" s="7">
        <v>45948</v>
      </c>
      <c r="J38" s="5" t="s">
        <v>819</v>
      </c>
      <c r="K38" s="5" t="s">
        <v>81</v>
      </c>
      <c r="L38" s="8">
        <v>305300.05</v>
      </c>
      <c r="M38" s="5" t="s">
        <v>32</v>
      </c>
      <c r="N38" s="5" t="s">
        <v>24</v>
      </c>
      <c r="O38" s="5" t="s">
        <v>820</v>
      </c>
      <c r="P38" s="5" t="str">
        <f>IF(hospital_patient_unclean_500__2[[#This Row],[Age]]&lt;18,"0-17",IF(hospital_patient_unclean_500__2[[#This Row],[Age]]&lt;36,"18-35",IF(hospital_patient_unclean_500__2[[#This Row],[Age]]&lt;51,"36-50",IF(hospital_patient_unclean_500__2[[#This Row],[Age]]&lt;66,"51-65","66+"))))</f>
        <v>36-50</v>
      </c>
    </row>
    <row r="39" spans="1:16" x14ac:dyDescent="0.3">
      <c r="A39" s="5" t="s">
        <v>168</v>
      </c>
      <c r="B39" s="5" t="s">
        <v>169</v>
      </c>
      <c r="C39" s="6">
        <v>27</v>
      </c>
      <c r="D39" s="5" t="s">
        <v>17</v>
      </c>
      <c r="E39" s="5" t="s">
        <v>52</v>
      </c>
      <c r="F39" s="5" t="s">
        <v>44</v>
      </c>
      <c r="G39" s="5" t="s">
        <v>153</v>
      </c>
      <c r="H39" s="7">
        <v>45923</v>
      </c>
      <c r="I39" s="7">
        <v>45933</v>
      </c>
      <c r="J39" s="5" t="s">
        <v>154</v>
      </c>
      <c r="K39" s="5" t="s">
        <v>155</v>
      </c>
      <c r="L39" s="8">
        <v>317162.14</v>
      </c>
      <c r="M39" s="5" t="s">
        <v>99</v>
      </c>
      <c r="N39" s="5" t="s">
        <v>48</v>
      </c>
      <c r="O39" s="5" t="s">
        <v>93</v>
      </c>
      <c r="P39" s="5" t="str">
        <f>IF(hospital_patient_unclean_500__2[[#This Row],[Age]]&lt;18,"0-17",IF(hospital_patient_unclean_500__2[[#This Row],[Age]]&lt;36,"18-35",IF(hospital_patient_unclean_500__2[[#This Row],[Age]]&lt;51,"36-50",IF(hospital_patient_unclean_500__2[[#This Row],[Age]]&lt;66,"51-65","66+"))))</f>
        <v>18-35</v>
      </c>
    </row>
    <row r="40" spans="1:16" x14ac:dyDescent="0.3">
      <c r="A40" s="5" t="s">
        <v>170</v>
      </c>
      <c r="B40" s="5" t="s">
        <v>91</v>
      </c>
      <c r="C40" s="6">
        <v>66</v>
      </c>
      <c r="D40" s="5" t="s">
        <v>51</v>
      </c>
      <c r="E40" s="5" t="s">
        <v>124</v>
      </c>
      <c r="F40" s="5" t="s">
        <v>87</v>
      </c>
      <c r="G40" s="5" t="s">
        <v>112</v>
      </c>
      <c r="H40" s="7">
        <v>45803</v>
      </c>
      <c r="I40" s="7">
        <v>45819</v>
      </c>
      <c r="J40" s="5" t="s">
        <v>171</v>
      </c>
      <c r="K40" s="5" t="s">
        <v>113</v>
      </c>
      <c r="L40" s="8">
        <v>192719.37</v>
      </c>
      <c r="M40" s="5" t="s">
        <v>99</v>
      </c>
      <c r="N40" s="5" t="s">
        <v>48</v>
      </c>
      <c r="O40" s="5" t="s">
        <v>820</v>
      </c>
      <c r="P40" s="5" t="str">
        <f>IF(hospital_patient_unclean_500__2[[#This Row],[Age]]&lt;18,"0-17",IF(hospital_patient_unclean_500__2[[#This Row],[Age]]&lt;36,"18-35",IF(hospital_patient_unclean_500__2[[#This Row],[Age]]&lt;51,"36-50",IF(hospital_patient_unclean_500__2[[#This Row],[Age]]&lt;66,"51-65","66+"))))</f>
        <v>66+</v>
      </c>
    </row>
    <row r="41" spans="1:16" x14ac:dyDescent="0.3">
      <c r="A41" s="5" t="s">
        <v>172</v>
      </c>
      <c r="B41" s="5" t="s">
        <v>42</v>
      </c>
      <c r="C41" s="6">
        <v>23</v>
      </c>
      <c r="D41" s="5" t="s">
        <v>51</v>
      </c>
      <c r="E41" s="5" t="s">
        <v>86</v>
      </c>
      <c r="F41" s="5" t="s">
        <v>132</v>
      </c>
      <c r="G41" s="5" t="s">
        <v>138</v>
      </c>
      <c r="H41" s="7">
        <v>45671</v>
      </c>
      <c r="I41" s="7">
        <v>45689</v>
      </c>
      <c r="J41" s="5" t="s">
        <v>173</v>
      </c>
      <c r="K41" s="5" t="s">
        <v>174</v>
      </c>
      <c r="L41" s="8">
        <v>98162.26</v>
      </c>
      <c r="M41" s="5" t="s">
        <v>23</v>
      </c>
      <c r="N41" s="5" t="s">
        <v>33</v>
      </c>
      <c r="O41" s="5" t="s">
        <v>820</v>
      </c>
      <c r="P41" s="5" t="str">
        <f>IF(hospital_patient_unclean_500__2[[#This Row],[Age]]&lt;18,"0-17",IF(hospital_patient_unclean_500__2[[#This Row],[Age]]&lt;36,"18-35",IF(hospital_patient_unclean_500__2[[#This Row],[Age]]&lt;51,"36-50",IF(hospital_patient_unclean_500__2[[#This Row],[Age]]&lt;66,"51-65","66+"))))</f>
        <v>18-35</v>
      </c>
    </row>
    <row r="42" spans="1:16" x14ac:dyDescent="0.3">
      <c r="A42" s="5" t="s">
        <v>175</v>
      </c>
      <c r="B42" s="5" t="s">
        <v>176</v>
      </c>
      <c r="C42" s="6">
        <v>63</v>
      </c>
      <c r="D42" s="5" t="s">
        <v>17</v>
      </c>
      <c r="E42" s="5" t="s">
        <v>177</v>
      </c>
      <c r="F42" s="5" t="s">
        <v>28</v>
      </c>
      <c r="G42" s="5" t="s">
        <v>101</v>
      </c>
      <c r="H42" s="7">
        <v>45836</v>
      </c>
      <c r="I42" s="7">
        <v>45836</v>
      </c>
      <c r="J42" s="5" t="s">
        <v>819</v>
      </c>
      <c r="K42" s="5" t="s">
        <v>835</v>
      </c>
      <c r="L42" s="8">
        <v>255824.81</v>
      </c>
      <c r="M42" s="5" t="s">
        <v>40</v>
      </c>
      <c r="N42" s="5" t="s">
        <v>65</v>
      </c>
      <c r="O42" s="5" t="s">
        <v>41</v>
      </c>
      <c r="P42" s="5" t="str">
        <f>IF(hospital_patient_unclean_500__2[[#This Row],[Age]]&lt;18,"0-17",IF(hospital_patient_unclean_500__2[[#This Row],[Age]]&lt;36,"18-35",IF(hospital_patient_unclean_500__2[[#This Row],[Age]]&lt;51,"36-50",IF(hospital_patient_unclean_500__2[[#This Row],[Age]]&lt;66,"51-65","66+"))))</f>
        <v>51-65</v>
      </c>
    </row>
    <row r="43" spans="1:16" x14ac:dyDescent="0.3">
      <c r="A43" s="5" t="s">
        <v>178</v>
      </c>
      <c r="B43" s="5" t="s">
        <v>179</v>
      </c>
      <c r="C43" s="6">
        <v>54</v>
      </c>
      <c r="D43" s="5" t="s">
        <v>51</v>
      </c>
      <c r="E43" s="5" t="s">
        <v>84</v>
      </c>
      <c r="F43" s="5" t="s">
        <v>19</v>
      </c>
      <c r="G43" s="5" t="s">
        <v>20</v>
      </c>
      <c r="H43" s="7">
        <v>45822</v>
      </c>
      <c r="I43" s="7">
        <v>45840</v>
      </c>
      <c r="J43" s="5" t="s">
        <v>180</v>
      </c>
      <c r="K43" s="5" t="s">
        <v>181</v>
      </c>
      <c r="L43" s="8">
        <v>121026.07</v>
      </c>
      <c r="M43" s="5" t="s">
        <v>23</v>
      </c>
      <c r="N43" s="5" t="s">
        <v>61</v>
      </c>
      <c r="O43" s="5" t="s">
        <v>820</v>
      </c>
      <c r="P43" s="5" t="str">
        <f>IF(hospital_patient_unclean_500__2[[#This Row],[Age]]&lt;18,"0-17",IF(hospital_patient_unclean_500__2[[#This Row],[Age]]&lt;36,"18-35",IF(hospital_patient_unclean_500__2[[#This Row],[Age]]&lt;51,"36-50",IF(hospital_patient_unclean_500__2[[#This Row],[Age]]&lt;66,"51-65","66+"))))</f>
        <v>51-65</v>
      </c>
    </row>
    <row r="44" spans="1:16" x14ac:dyDescent="0.3">
      <c r="A44" s="5" t="s">
        <v>182</v>
      </c>
      <c r="B44" s="5" t="s">
        <v>183</v>
      </c>
      <c r="C44" s="6">
        <v>19</v>
      </c>
      <c r="D44" s="5" t="s">
        <v>17</v>
      </c>
      <c r="E44" s="5" t="s">
        <v>84</v>
      </c>
      <c r="F44" s="5" t="s">
        <v>38</v>
      </c>
      <c r="G44" s="5" t="s">
        <v>819</v>
      </c>
      <c r="H44" s="7">
        <v>45890</v>
      </c>
      <c r="I44" s="7">
        <v>45890</v>
      </c>
      <c r="J44" s="5" t="s">
        <v>184</v>
      </c>
      <c r="K44" s="5" t="s">
        <v>59</v>
      </c>
      <c r="L44" s="8">
        <v>272661.81</v>
      </c>
      <c r="M44" s="5" t="s">
        <v>72</v>
      </c>
      <c r="N44" s="5" t="s">
        <v>33</v>
      </c>
      <c r="O44" s="5" t="s">
        <v>41</v>
      </c>
      <c r="P44" s="5" t="str">
        <f>IF(hospital_patient_unclean_500__2[[#This Row],[Age]]&lt;18,"0-17",IF(hospital_patient_unclean_500__2[[#This Row],[Age]]&lt;36,"18-35",IF(hospital_patient_unclean_500__2[[#This Row],[Age]]&lt;51,"36-50",IF(hospital_patient_unclean_500__2[[#This Row],[Age]]&lt;66,"51-65","66+"))))</f>
        <v>18-35</v>
      </c>
    </row>
    <row r="45" spans="1:16" x14ac:dyDescent="0.3">
      <c r="A45" s="5" t="s">
        <v>185</v>
      </c>
      <c r="B45" s="5" t="s">
        <v>186</v>
      </c>
      <c r="C45" s="6">
        <v>17</v>
      </c>
      <c r="D45" s="5" t="s">
        <v>17</v>
      </c>
      <c r="E45" s="5" t="s">
        <v>84</v>
      </c>
      <c r="F45" s="5" t="s">
        <v>44</v>
      </c>
      <c r="G45" s="5" t="s">
        <v>819</v>
      </c>
      <c r="H45" s="7">
        <v>45950</v>
      </c>
      <c r="I45" s="7">
        <v>45950</v>
      </c>
      <c r="J45" s="5" t="s">
        <v>154</v>
      </c>
      <c r="K45" s="5" t="s">
        <v>155</v>
      </c>
      <c r="L45" s="8">
        <v>305369.69</v>
      </c>
      <c r="M45" s="5" t="s">
        <v>47</v>
      </c>
      <c r="N45" s="5" t="s">
        <v>65</v>
      </c>
      <c r="O45" s="5" t="s">
        <v>41</v>
      </c>
      <c r="P45" s="5" t="str">
        <f>IF(hospital_patient_unclean_500__2[[#This Row],[Age]]&lt;18,"0-17",IF(hospital_patient_unclean_500__2[[#This Row],[Age]]&lt;36,"18-35",IF(hospital_patient_unclean_500__2[[#This Row],[Age]]&lt;51,"36-50",IF(hospital_patient_unclean_500__2[[#This Row],[Age]]&lt;66,"51-65","66+"))))</f>
        <v>0-17</v>
      </c>
    </row>
    <row r="46" spans="1:16" x14ac:dyDescent="0.3">
      <c r="A46" s="5" t="s">
        <v>187</v>
      </c>
      <c r="B46" s="5" t="s">
        <v>356</v>
      </c>
      <c r="C46" s="6">
        <v>23</v>
      </c>
      <c r="D46" s="5" t="s">
        <v>51</v>
      </c>
      <c r="E46" s="5" t="s">
        <v>86</v>
      </c>
      <c r="F46" s="5" t="s">
        <v>38</v>
      </c>
      <c r="G46" s="5" t="s">
        <v>125</v>
      </c>
      <c r="H46" s="7">
        <v>45754</v>
      </c>
      <c r="I46" s="7">
        <v>45762</v>
      </c>
      <c r="J46" s="5" t="s">
        <v>828</v>
      </c>
      <c r="K46" s="5" t="s">
        <v>39</v>
      </c>
      <c r="L46" s="8">
        <v>160725.21</v>
      </c>
      <c r="M46" s="5" t="s">
        <v>32</v>
      </c>
      <c r="N46" s="5" t="s">
        <v>61</v>
      </c>
      <c r="O46" s="5" t="s">
        <v>93</v>
      </c>
      <c r="P46" s="5" t="str">
        <f>IF(hospital_patient_unclean_500__2[[#This Row],[Age]]&lt;18,"0-17",IF(hospital_patient_unclean_500__2[[#This Row],[Age]]&lt;36,"18-35",IF(hospital_patient_unclean_500__2[[#This Row],[Age]]&lt;51,"36-50",IF(hospital_patient_unclean_500__2[[#This Row],[Age]]&lt;66,"51-65","66+"))))</f>
        <v>18-35</v>
      </c>
    </row>
    <row r="47" spans="1:16" x14ac:dyDescent="0.3">
      <c r="A47" s="5" t="s">
        <v>188</v>
      </c>
      <c r="B47" s="5" t="s">
        <v>127</v>
      </c>
      <c r="C47" s="6">
        <v>59</v>
      </c>
      <c r="D47" s="5" t="s">
        <v>51</v>
      </c>
      <c r="E47" s="5" t="s">
        <v>111</v>
      </c>
      <c r="F47" s="5" t="s">
        <v>28</v>
      </c>
      <c r="G47" s="5" t="s">
        <v>195</v>
      </c>
      <c r="H47" s="7">
        <v>45853</v>
      </c>
      <c r="I47" s="7">
        <v>45864</v>
      </c>
      <c r="J47" s="5" t="s">
        <v>189</v>
      </c>
      <c r="K47" s="5" t="s">
        <v>835</v>
      </c>
      <c r="L47" s="8">
        <v>46634.93</v>
      </c>
      <c r="M47" s="5" t="s">
        <v>23</v>
      </c>
      <c r="N47" s="5" t="s">
        <v>65</v>
      </c>
      <c r="O47" s="5" t="s">
        <v>25</v>
      </c>
      <c r="P47" s="5" t="str">
        <f>IF(hospital_patient_unclean_500__2[[#This Row],[Age]]&lt;18,"0-17",IF(hospital_patient_unclean_500__2[[#This Row],[Age]]&lt;36,"18-35",IF(hospital_patient_unclean_500__2[[#This Row],[Age]]&lt;51,"36-50",IF(hospital_patient_unclean_500__2[[#This Row],[Age]]&lt;66,"51-65","66+"))))</f>
        <v>51-65</v>
      </c>
    </row>
    <row r="48" spans="1:16" x14ac:dyDescent="0.3">
      <c r="A48" s="5" t="s">
        <v>190</v>
      </c>
      <c r="B48" s="5" t="s">
        <v>191</v>
      </c>
      <c r="C48" s="6">
        <v>3</v>
      </c>
      <c r="D48" s="5" t="s">
        <v>51</v>
      </c>
      <c r="E48" s="5" t="s">
        <v>68</v>
      </c>
      <c r="F48" s="5" t="s">
        <v>87</v>
      </c>
      <c r="G48" s="5" t="s">
        <v>88</v>
      </c>
      <c r="H48" s="7">
        <v>45953</v>
      </c>
      <c r="I48" s="7">
        <v>45962</v>
      </c>
      <c r="J48" s="5" t="s">
        <v>192</v>
      </c>
      <c r="K48" s="5" t="s">
        <v>193</v>
      </c>
      <c r="L48" s="8">
        <v>30598.91</v>
      </c>
      <c r="M48" s="5" t="s">
        <v>99</v>
      </c>
      <c r="N48" s="5" t="s">
        <v>33</v>
      </c>
      <c r="O48" s="5" t="s">
        <v>820</v>
      </c>
      <c r="P48" s="5" t="str">
        <f>IF(hospital_patient_unclean_500__2[[#This Row],[Age]]&lt;18,"0-17",IF(hospital_patient_unclean_500__2[[#This Row],[Age]]&lt;36,"18-35",IF(hospital_patient_unclean_500__2[[#This Row],[Age]]&lt;51,"36-50",IF(hospital_patient_unclean_500__2[[#This Row],[Age]]&lt;66,"51-65","66+"))))</f>
        <v>0-17</v>
      </c>
    </row>
    <row r="49" spans="1:16" x14ac:dyDescent="0.3">
      <c r="A49" s="5" t="s">
        <v>836</v>
      </c>
      <c r="B49" s="5" t="s">
        <v>668</v>
      </c>
      <c r="C49" s="6">
        <v>55</v>
      </c>
      <c r="D49" s="5" t="s">
        <v>51</v>
      </c>
      <c r="E49" s="5" t="s">
        <v>111</v>
      </c>
      <c r="F49" s="5" t="s">
        <v>44</v>
      </c>
      <c r="G49" s="5" t="s">
        <v>153</v>
      </c>
      <c r="H49" s="7">
        <v>45834</v>
      </c>
      <c r="I49" s="7">
        <v>45838</v>
      </c>
      <c r="J49" s="5" t="s">
        <v>830</v>
      </c>
      <c r="K49" s="5" t="s">
        <v>46</v>
      </c>
      <c r="L49" s="8">
        <v>298691.20000000001</v>
      </c>
      <c r="M49" s="5" t="s">
        <v>32</v>
      </c>
      <c r="N49" s="5" t="s">
        <v>33</v>
      </c>
      <c r="O49" s="5" t="s">
        <v>820</v>
      </c>
      <c r="P49" s="5" t="str">
        <f>IF(hospital_patient_unclean_500__2[[#This Row],[Age]]&lt;18,"0-17",IF(hospital_patient_unclean_500__2[[#This Row],[Age]]&lt;36,"18-35",IF(hospital_patient_unclean_500__2[[#This Row],[Age]]&lt;51,"36-50",IF(hospital_patient_unclean_500__2[[#This Row],[Age]]&lt;66,"51-65","66+"))))</f>
        <v>51-65</v>
      </c>
    </row>
    <row r="50" spans="1:16" x14ac:dyDescent="0.3">
      <c r="A50" s="5" t="s">
        <v>837</v>
      </c>
      <c r="B50" s="5" t="s">
        <v>194</v>
      </c>
      <c r="C50" s="6">
        <v>47</v>
      </c>
      <c r="D50" s="5" t="s">
        <v>51</v>
      </c>
      <c r="E50" s="5" t="s">
        <v>124</v>
      </c>
      <c r="F50" s="5" t="s">
        <v>28</v>
      </c>
      <c r="G50" s="5" t="s">
        <v>195</v>
      </c>
      <c r="H50" s="7">
        <v>45732</v>
      </c>
      <c r="I50" s="7">
        <v>45861</v>
      </c>
      <c r="J50" s="5" t="s">
        <v>75</v>
      </c>
      <c r="K50" s="5" t="s">
        <v>76</v>
      </c>
      <c r="L50" s="8">
        <v>341800.01</v>
      </c>
      <c r="M50" s="5" t="s">
        <v>32</v>
      </c>
      <c r="N50" s="5" t="s">
        <v>61</v>
      </c>
      <c r="O50" s="5" t="s">
        <v>41</v>
      </c>
      <c r="P50" s="5" t="str">
        <f>IF(hospital_patient_unclean_500__2[[#This Row],[Age]]&lt;18,"0-17",IF(hospital_patient_unclean_500__2[[#This Row],[Age]]&lt;36,"18-35",IF(hospital_patient_unclean_500__2[[#This Row],[Age]]&lt;51,"36-50",IF(hospital_patient_unclean_500__2[[#This Row],[Age]]&lt;66,"51-65","66+"))))</f>
        <v>36-50</v>
      </c>
    </row>
    <row r="51" spans="1:16" x14ac:dyDescent="0.3">
      <c r="A51" s="5" t="s">
        <v>196</v>
      </c>
      <c r="B51" s="5" t="s">
        <v>197</v>
      </c>
      <c r="C51" s="6">
        <v>27</v>
      </c>
      <c r="D51" s="5" t="s">
        <v>17</v>
      </c>
      <c r="E51" s="5" t="s">
        <v>111</v>
      </c>
      <c r="F51" s="5" t="s">
        <v>132</v>
      </c>
      <c r="G51" s="5" t="s">
        <v>223</v>
      </c>
      <c r="H51" s="7">
        <v>45868</v>
      </c>
      <c r="I51" s="7">
        <v>45883</v>
      </c>
      <c r="J51" s="5" t="s">
        <v>139</v>
      </c>
      <c r="K51" s="5" t="s">
        <v>140</v>
      </c>
      <c r="L51" s="8">
        <v>153551.82</v>
      </c>
      <c r="M51" s="5" t="s">
        <v>72</v>
      </c>
      <c r="N51" s="5" t="s">
        <v>61</v>
      </c>
      <c r="O51" s="5" t="s">
        <v>34</v>
      </c>
      <c r="P51" s="5" t="str">
        <f>IF(hospital_patient_unclean_500__2[[#This Row],[Age]]&lt;18,"0-17",IF(hospital_patient_unclean_500__2[[#This Row],[Age]]&lt;36,"18-35",IF(hospital_patient_unclean_500__2[[#This Row],[Age]]&lt;51,"36-50",IF(hospital_patient_unclean_500__2[[#This Row],[Age]]&lt;66,"51-65","66+"))))</f>
        <v>18-35</v>
      </c>
    </row>
    <row r="52" spans="1:16" x14ac:dyDescent="0.3">
      <c r="A52" s="5" t="s">
        <v>198</v>
      </c>
      <c r="B52" s="5" t="s">
        <v>199</v>
      </c>
      <c r="C52" s="6">
        <v>71</v>
      </c>
      <c r="D52" s="5" t="s">
        <v>17</v>
      </c>
      <c r="E52" s="5" t="s">
        <v>68</v>
      </c>
      <c r="F52" s="5" t="s">
        <v>53</v>
      </c>
      <c r="G52" s="5" t="s">
        <v>54</v>
      </c>
      <c r="H52" s="7">
        <v>45960</v>
      </c>
      <c r="I52" s="7">
        <v>45968</v>
      </c>
      <c r="J52" s="5" t="s">
        <v>200</v>
      </c>
      <c r="K52" s="5" t="s">
        <v>201</v>
      </c>
      <c r="L52" s="8">
        <v>166546.48000000001</v>
      </c>
      <c r="M52" s="5" t="s">
        <v>23</v>
      </c>
      <c r="N52" s="5" t="s">
        <v>33</v>
      </c>
      <c r="O52" s="5" t="s">
        <v>25</v>
      </c>
      <c r="P52" s="5" t="str">
        <f>IF(hospital_patient_unclean_500__2[[#This Row],[Age]]&lt;18,"0-17",IF(hospital_patient_unclean_500__2[[#This Row],[Age]]&lt;36,"18-35",IF(hospital_patient_unclean_500__2[[#This Row],[Age]]&lt;51,"36-50",IF(hospital_patient_unclean_500__2[[#This Row],[Age]]&lt;66,"51-65","66+"))))</f>
        <v>66+</v>
      </c>
    </row>
    <row r="53" spans="1:16" x14ac:dyDescent="0.3">
      <c r="A53" s="5" t="s">
        <v>202</v>
      </c>
      <c r="B53" s="5" t="s">
        <v>119</v>
      </c>
      <c r="C53" s="6">
        <v>44</v>
      </c>
      <c r="D53" s="5" t="s">
        <v>17</v>
      </c>
      <c r="E53" s="5" t="s">
        <v>43</v>
      </c>
      <c r="F53" s="5" t="s">
        <v>132</v>
      </c>
      <c r="G53" s="5" t="s">
        <v>138</v>
      </c>
      <c r="H53" s="7">
        <v>45905</v>
      </c>
      <c r="I53" s="7">
        <v>45906</v>
      </c>
      <c r="J53" s="5" t="s">
        <v>139</v>
      </c>
      <c r="K53" s="5" t="s">
        <v>140</v>
      </c>
      <c r="L53" s="8">
        <v>104991.88</v>
      </c>
      <c r="M53" s="5" t="s">
        <v>99</v>
      </c>
      <c r="N53" s="5" t="s">
        <v>65</v>
      </c>
      <c r="O53" s="5" t="s">
        <v>34</v>
      </c>
      <c r="P53" s="5" t="str">
        <f>IF(hospital_patient_unclean_500__2[[#This Row],[Age]]&lt;18,"0-17",IF(hospital_patient_unclean_500__2[[#This Row],[Age]]&lt;36,"18-35",IF(hospital_patient_unclean_500__2[[#This Row],[Age]]&lt;51,"36-50",IF(hospital_patient_unclean_500__2[[#This Row],[Age]]&lt;66,"51-65","66+"))))</f>
        <v>36-50</v>
      </c>
    </row>
    <row r="54" spans="1:16" x14ac:dyDescent="0.3">
      <c r="A54" s="5" t="s">
        <v>203</v>
      </c>
      <c r="B54" s="5" t="s">
        <v>319</v>
      </c>
      <c r="C54" s="6">
        <v>19</v>
      </c>
      <c r="D54" s="5" t="s">
        <v>17</v>
      </c>
      <c r="E54" s="5" t="s">
        <v>86</v>
      </c>
      <c r="F54" s="5" t="s">
        <v>44</v>
      </c>
      <c r="G54" s="5" t="s">
        <v>45</v>
      </c>
      <c r="H54" s="7">
        <v>45772</v>
      </c>
      <c r="I54" s="7">
        <v>45779</v>
      </c>
      <c r="J54" s="5" t="s">
        <v>830</v>
      </c>
      <c r="K54" s="5" t="s">
        <v>46</v>
      </c>
      <c r="L54" s="8">
        <v>158630.85</v>
      </c>
      <c r="M54" s="5" t="s">
        <v>60</v>
      </c>
      <c r="N54" s="5" t="s">
        <v>24</v>
      </c>
      <c r="O54" s="5" t="s">
        <v>819</v>
      </c>
      <c r="P54" s="5" t="str">
        <f>IF(hospital_patient_unclean_500__2[[#This Row],[Age]]&lt;18,"0-17",IF(hospital_patient_unclean_500__2[[#This Row],[Age]]&lt;36,"18-35",IF(hospital_patient_unclean_500__2[[#This Row],[Age]]&lt;51,"36-50",IF(hospital_patient_unclean_500__2[[#This Row],[Age]]&lt;66,"51-65","66+"))))</f>
        <v>18-35</v>
      </c>
    </row>
    <row r="55" spans="1:16" x14ac:dyDescent="0.3">
      <c r="A55" s="5" t="s">
        <v>204</v>
      </c>
      <c r="B55" s="5" t="s">
        <v>205</v>
      </c>
      <c r="C55" s="6">
        <v>20</v>
      </c>
      <c r="D55" s="5" t="s">
        <v>51</v>
      </c>
      <c r="E55" s="5" t="s">
        <v>111</v>
      </c>
      <c r="F55" s="5" t="s">
        <v>19</v>
      </c>
      <c r="G55" s="5" t="s">
        <v>20</v>
      </c>
      <c r="H55" s="7">
        <v>45990</v>
      </c>
      <c r="I55" s="7">
        <v>45990</v>
      </c>
      <c r="J55" s="5" t="s">
        <v>180</v>
      </c>
      <c r="K55" s="5" t="s">
        <v>181</v>
      </c>
      <c r="L55" s="8">
        <v>259400.48</v>
      </c>
      <c r="M55" s="5" t="s">
        <v>60</v>
      </c>
      <c r="N55" s="5" t="s">
        <v>48</v>
      </c>
      <c r="O55" s="5" t="s">
        <v>41</v>
      </c>
      <c r="P55" s="5" t="str">
        <f>IF(hospital_patient_unclean_500__2[[#This Row],[Age]]&lt;18,"0-17",IF(hospital_patient_unclean_500__2[[#This Row],[Age]]&lt;36,"18-35",IF(hospital_patient_unclean_500__2[[#This Row],[Age]]&lt;51,"36-50",IF(hospital_patient_unclean_500__2[[#This Row],[Age]]&lt;66,"51-65","66+"))))</f>
        <v>18-35</v>
      </c>
    </row>
    <row r="56" spans="1:16" x14ac:dyDescent="0.3">
      <c r="A56" s="5" t="s">
        <v>206</v>
      </c>
      <c r="B56" s="5" t="s">
        <v>207</v>
      </c>
      <c r="C56" s="6">
        <v>62</v>
      </c>
      <c r="D56" s="5" t="s">
        <v>17</v>
      </c>
      <c r="E56" s="5" t="s">
        <v>124</v>
      </c>
      <c r="F56" s="5" t="s">
        <v>28</v>
      </c>
      <c r="G56" s="5" t="s">
        <v>101</v>
      </c>
      <c r="H56" s="7">
        <v>45747</v>
      </c>
      <c r="I56" s="7">
        <v>45748</v>
      </c>
      <c r="J56" s="5" t="s">
        <v>102</v>
      </c>
      <c r="K56" s="5" t="s">
        <v>103</v>
      </c>
      <c r="L56" s="8">
        <v>6330.59</v>
      </c>
      <c r="M56" s="5" t="s">
        <v>47</v>
      </c>
      <c r="N56" s="5" t="s">
        <v>33</v>
      </c>
      <c r="O56" s="5" t="s">
        <v>41</v>
      </c>
      <c r="P56" s="5" t="str">
        <f>IF(hospital_patient_unclean_500__2[[#This Row],[Age]]&lt;18,"0-17",IF(hospital_patient_unclean_500__2[[#This Row],[Age]]&lt;36,"18-35",IF(hospital_patient_unclean_500__2[[#This Row],[Age]]&lt;51,"36-50",IF(hospital_patient_unclean_500__2[[#This Row],[Age]]&lt;66,"51-65","66+"))))</f>
        <v>51-65</v>
      </c>
    </row>
    <row r="57" spans="1:16" x14ac:dyDescent="0.3">
      <c r="A57" s="5" t="s">
        <v>208</v>
      </c>
      <c r="B57" s="5" t="s">
        <v>209</v>
      </c>
      <c r="C57" s="6">
        <v>71</v>
      </c>
      <c r="D57" s="5" t="s">
        <v>17</v>
      </c>
      <c r="E57" s="5" t="s">
        <v>86</v>
      </c>
      <c r="F57" s="5" t="s">
        <v>53</v>
      </c>
      <c r="G57" s="5" t="s">
        <v>143</v>
      </c>
      <c r="H57" s="7">
        <v>45723</v>
      </c>
      <c r="I57" s="7">
        <v>45737</v>
      </c>
      <c r="J57" s="5" t="s">
        <v>200</v>
      </c>
      <c r="K57" s="5" t="s">
        <v>819</v>
      </c>
      <c r="L57" s="8">
        <v>156042.6</v>
      </c>
      <c r="M57" s="5" t="s">
        <v>47</v>
      </c>
      <c r="N57" s="5" t="s">
        <v>33</v>
      </c>
      <c r="O57" s="5" t="s">
        <v>25</v>
      </c>
      <c r="P57" s="5" t="str">
        <f>IF(hospital_patient_unclean_500__2[[#This Row],[Age]]&lt;18,"0-17",IF(hospital_patient_unclean_500__2[[#This Row],[Age]]&lt;36,"18-35",IF(hospital_patient_unclean_500__2[[#This Row],[Age]]&lt;51,"36-50",IF(hospital_patient_unclean_500__2[[#This Row],[Age]]&lt;66,"51-65","66+"))))</f>
        <v>66+</v>
      </c>
    </row>
    <row r="58" spans="1:16" x14ac:dyDescent="0.3">
      <c r="A58" s="5" t="s">
        <v>210</v>
      </c>
      <c r="B58" s="5" t="s">
        <v>211</v>
      </c>
      <c r="C58" s="6">
        <v>4</v>
      </c>
      <c r="D58" s="5" t="s">
        <v>51</v>
      </c>
      <c r="E58" s="5" t="s">
        <v>64</v>
      </c>
      <c r="F58" s="5" t="s">
        <v>53</v>
      </c>
      <c r="G58" s="5" t="s">
        <v>54</v>
      </c>
      <c r="H58" s="7">
        <v>45845</v>
      </c>
      <c r="I58" s="7">
        <v>45845</v>
      </c>
      <c r="J58" s="5" t="s">
        <v>70</v>
      </c>
      <c r="K58" s="5" t="s">
        <v>71</v>
      </c>
      <c r="L58" s="8">
        <v>117856.84</v>
      </c>
      <c r="M58" s="5" t="s">
        <v>40</v>
      </c>
      <c r="N58" s="5" t="s">
        <v>61</v>
      </c>
      <c r="O58" s="5" t="s">
        <v>93</v>
      </c>
      <c r="P58" s="5" t="str">
        <f>IF(hospital_patient_unclean_500__2[[#This Row],[Age]]&lt;18,"0-17",IF(hospital_patient_unclean_500__2[[#This Row],[Age]]&lt;36,"18-35",IF(hospital_patient_unclean_500__2[[#This Row],[Age]]&lt;51,"36-50",IF(hospital_patient_unclean_500__2[[#This Row],[Age]]&lt;66,"51-65","66+"))))</f>
        <v>0-17</v>
      </c>
    </row>
    <row r="59" spans="1:16" x14ac:dyDescent="0.3">
      <c r="A59" s="5" t="s">
        <v>212</v>
      </c>
      <c r="B59" s="5" t="s">
        <v>213</v>
      </c>
      <c r="C59" s="6">
        <v>56</v>
      </c>
      <c r="D59" s="5" t="s">
        <v>17</v>
      </c>
      <c r="E59" s="5" t="s">
        <v>37</v>
      </c>
      <c r="F59" s="5" t="s">
        <v>44</v>
      </c>
      <c r="G59" s="5" t="s">
        <v>45</v>
      </c>
      <c r="H59" s="7">
        <v>45670</v>
      </c>
      <c r="I59" s="7">
        <v>45745</v>
      </c>
      <c r="J59" s="5" t="s">
        <v>830</v>
      </c>
      <c r="K59" s="5" t="s">
        <v>46</v>
      </c>
      <c r="L59" s="8">
        <v>135291.62</v>
      </c>
      <c r="M59" s="5" t="s">
        <v>40</v>
      </c>
      <c r="N59" s="5" t="s">
        <v>65</v>
      </c>
      <c r="O59" s="5" t="s">
        <v>41</v>
      </c>
      <c r="P59" s="5" t="str">
        <f>IF(hospital_patient_unclean_500__2[[#This Row],[Age]]&lt;18,"0-17",IF(hospital_patient_unclean_500__2[[#This Row],[Age]]&lt;36,"18-35",IF(hospital_patient_unclean_500__2[[#This Row],[Age]]&lt;51,"36-50",IF(hospital_patient_unclean_500__2[[#This Row],[Age]]&lt;66,"51-65","66+"))))</f>
        <v>51-65</v>
      </c>
    </row>
    <row r="60" spans="1:16" x14ac:dyDescent="0.3">
      <c r="A60" s="5" t="s">
        <v>838</v>
      </c>
      <c r="B60" s="5" t="s">
        <v>214</v>
      </c>
      <c r="C60" s="6">
        <v>71</v>
      </c>
      <c r="D60" s="5" t="s">
        <v>51</v>
      </c>
      <c r="E60" s="5" t="s">
        <v>43</v>
      </c>
      <c r="F60" s="5" t="s">
        <v>87</v>
      </c>
      <c r="G60" s="5" t="s">
        <v>112</v>
      </c>
      <c r="H60" s="7">
        <v>45736</v>
      </c>
      <c r="I60" s="7">
        <v>45747</v>
      </c>
      <c r="J60" s="5" t="s">
        <v>192</v>
      </c>
      <c r="K60" s="5" t="s">
        <v>193</v>
      </c>
      <c r="L60" s="8">
        <v>274287.35999999999</v>
      </c>
      <c r="M60" s="5" t="s">
        <v>72</v>
      </c>
      <c r="N60" s="5" t="s">
        <v>48</v>
      </c>
      <c r="O60" s="5" t="s">
        <v>93</v>
      </c>
      <c r="P60" s="5" t="str">
        <f>IF(hospital_patient_unclean_500__2[[#This Row],[Age]]&lt;18,"0-17",IF(hospital_patient_unclean_500__2[[#This Row],[Age]]&lt;36,"18-35",IF(hospital_patient_unclean_500__2[[#This Row],[Age]]&lt;51,"36-50",IF(hospital_patient_unclean_500__2[[#This Row],[Age]]&lt;66,"51-65","66+"))))</f>
        <v>66+</v>
      </c>
    </row>
    <row r="61" spans="1:16" x14ac:dyDescent="0.3">
      <c r="A61" s="5" t="s">
        <v>215</v>
      </c>
      <c r="B61" s="5" t="s">
        <v>199</v>
      </c>
      <c r="C61" s="6">
        <v>32</v>
      </c>
      <c r="D61" s="5" t="s">
        <v>96</v>
      </c>
      <c r="E61" s="5" t="s">
        <v>111</v>
      </c>
      <c r="F61" s="5" t="s">
        <v>87</v>
      </c>
      <c r="G61" s="5" t="s">
        <v>112</v>
      </c>
      <c r="H61" s="7">
        <v>46006</v>
      </c>
      <c r="I61" s="7">
        <v>46017</v>
      </c>
      <c r="J61" s="5" t="s">
        <v>216</v>
      </c>
      <c r="K61" s="5" t="s">
        <v>839</v>
      </c>
      <c r="L61" s="8">
        <v>129875.35</v>
      </c>
      <c r="M61" s="5" t="s">
        <v>60</v>
      </c>
      <c r="N61" s="5" t="s">
        <v>65</v>
      </c>
      <c r="O61" s="5" t="s">
        <v>25</v>
      </c>
      <c r="P61" s="5" t="str">
        <f>IF(hospital_patient_unclean_500__2[[#This Row],[Age]]&lt;18,"0-17",IF(hospital_patient_unclean_500__2[[#This Row],[Age]]&lt;36,"18-35",IF(hospital_patient_unclean_500__2[[#This Row],[Age]]&lt;51,"36-50",IF(hospital_patient_unclean_500__2[[#This Row],[Age]]&lt;66,"51-65","66+"))))</f>
        <v>18-35</v>
      </c>
    </row>
    <row r="62" spans="1:16" x14ac:dyDescent="0.3">
      <c r="A62" s="5" t="s">
        <v>217</v>
      </c>
      <c r="B62" s="5" t="s">
        <v>218</v>
      </c>
      <c r="C62" s="6">
        <v>37</v>
      </c>
      <c r="D62" s="5" t="s">
        <v>17</v>
      </c>
      <c r="E62" s="5" t="s">
        <v>124</v>
      </c>
      <c r="F62" s="5" t="s">
        <v>819</v>
      </c>
      <c r="G62" s="5" t="s">
        <v>167</v>
      </c>
      <c r="H62" s="7">
        <v>45661</v>
      </c>
      <c r="I62" s="7">
        <v>45959</v>
      </c>
      <c r="J62" s="5" t="s">
        <v>828</v>
      </c>
      <c r="K62" s="5" t="s">
        <v>39</v>
      </c>
      <c r="L62" s="8">
        <v>133136.07999999999</v>
      </c>
      <c r="M62" s="5" t="s">
        <v>47</v>
      </c>
      <c r="N62" s="5" t="s">
        <v>48</v>
      </c>
      <c r="O62" s="5" t="s">
        <v>41</v>
      </c>
      <c r="P62" s="5" t="str">
        <f>IF(hospital_patient_unclean_500__2[[#This Row],[Age]]&lt;18,"0-17",IF(hospital_patient_unclean_500__2[[#This Row],[Age]]&lt;36,"18-35",IF(hospital_patient_unclean_500__2[[#This Row],[Age]]&lt;51,"36-50",IF(hospital_patient_unclean_500__2[[#This Row],[Age]]&lt;66,"51-65","66+"))))</f>
        <v>36-50</v>
      </c>
    </row>
    <row r="63" spans="1:16" x14ac:dyDescent="0.3">
      <c r="A63" s="5" t="s">
        <v>219</v>
      </c>
      <c r="B63" s="5" t="s">
        <v>220</v>
      </c>
      <c r="C63" s="6">
        <v>38</v>
      </c>
      <c r="D63" s="5" t="s">
        <v>819</v>
      </c>
      <c r="E63" s="5" t="s">
        <v>68</v>
      </c>
      <c r="F63" s="5" t="s">
        <v>44</v>
      </c>
      <c r="G63" s="5" t="s">
        <v>221</v>
      </c>
      <c r="H63" s="7">
        <v>45889</v>
      </c>
      <c r="I63" s="7">
        <v>45900</v>
      </c>
      <c r="J63" s="5" t="s">
        <v>154</v>
      </c>
      <c r="K63" s="5" t="s">
        <v>155</v>
      </c>
      <c r="L63" s="8">
        <v>301763.98</v>
      </c>
      <c r="M63" s="5" t="s">
        <v>99</v>
      </c>
      <c r="N63" s="5" t="s">
        <v>48</v>
      </c>
      <c r="O63" s="5" t="s">
        <v>820</v>
      </c>
      <c r="P63" s="5" t="str">
        <f>IF(hospital_patient_unclean_500__2[[#This Row],[Age]]&lt;18,"0-17",IF(hospital_patient_unclean_500__2[[#This Row],[Age]]&lt;36,"18-35",IF(hospital_patient_unclean_500__2[[#This Row],[Age]]&lt;51,"36-50",IF(hospital_patient_unclean_500__2[[#This Row],[Age]]&lt;66,"51-65","66+"))))</f>
        <v>36-50</v>
      </c>
    </row>
    <row r="64" spans="1:16" x14ac:dyDescent="0.3">
      <c r="A64" s="5" t="s">
        <v>222</v>
      </c>
      <c r="B64" s="5" t="s">
        <v>16</v>
      </c>
      <c r="C64" s="6">
        <v>44</v>
      </c>
      <c r="D64" s="5" t="s">
        <v>17</v>
      </c>
      <c r="E64" s="5" t="s">
        <v>124</v>
      </c>
      <c r="F64" s="5" t="s">
        <v>132</v>
      </c>
      <c r="G64" s="5" t="s">
        <v>223</v>
      </c>
      <c r="H64" s="7">
        <v>45732</v>
      </c>
      <c r="I64" s="7">
        <v>45741</v>
      </c>
      <c r="J64" s="5" t="s">
        <v>134</v>
      </c>
      <c r="K64" s="5" t="s">
        <v>135</v>
      </c>
      <c r="L64" s="8">
        <v>344150.43</v>
      </c>
      <c r="M64" s="5" t="s">
        <v>32</v>
      </c>
      <c r="N64" s="5" t="s">
        <v>65</v>
      </c>
      <c r="O64" s="5" t="s">
        <v>93</v>
      </c>
      <c r="P64" s="5" t="str">
        <f>IF(hospital_patient_unclean_500__2[[#This Row],[Age]]&lt;18,"0-17",IF(hospital_patient_unclean_500__2[[#This Row],[Age]]&lt;36,"18-35",IF(hospital_patient_unclean_500__2[[#This Row],[Age]]&lt;51,"36-50",IF(hospital_patient_unclean_500__2[[#This Row],[Age]]&lt;66,"51-65","66+"))))</f>
        <v>36-50</v>
      </c>
    </row>
    <row r="65" spans="1:16" x14ac:dyDescent="0.3">
      <c r="A65" s="5" t="s">
        <v>224</v>
      </c>
      <c r="B65" s="5" t="s">
        <v>225</v>
      </c>
      <c r="C65" s="6">
        <v>44</v>
      </c>
      <c r="D65" s="5" t="s">
        <v>17</v>
      </c>
      <c r="E65" s="5" t="s">
        <v>64</v>
      </c>
      <c r="F65" s="5" t="s">
        <v>38</v>
      </c>
      <c r="G65" s="5" t="s">
        <v>79</v>
      </c>
      <c r="H65" s="7">
        <v>46010</v>
      </c>
      <c r="I65" s="7">
        <v>46023</v>
      </c>
      <c r="J65" s="5" t="s">
        <v>97</v>
      </c>
      <c r="K65" s="5" t="s">
        <v>98</v>
      </c>
      <c r="L65" s="8">
        <v>0</v>
      </c>
      <c r="M65" s="5" t="s">
        <v>32</v>
      </c>
      <c r="N65" s="5" t="s">
        <v>61</v>
      </c>
      <c r="O65" s="5" t="s">
        <v>820</v>
      </c>
      <c r="P65" s="5" t="str">
        <f>IF(hospital_patient_unclean_500__2[[#This Row],[Age]]&lt;18,"0-17",IF(hospital_patient_unclean_500__2[[#This Row],[Age]]&lt;36,"18-35",IF(hospital_patient_unclean_500__2[[#This Row],[Age]]&lt;51,"36-50",IF(hospital_patient_unclean_500__2[[#This Row],[Age]]&lt;66,"51-65","66+"))))</f>
        <v>36-50</v>
      </c>
    </row>
    <row r="66" spans="1:16" x14ac:dyDescent="0.3">
      <c r="A66" s="5" t="s">
        <v>226</v>
      </c>
      <c r="B66" s="5" t="s">
        <v>199</v>
      </c>
      <c r="C66" s="6">
        <v>31</v>
      </c>
      <c r="D66" s="5" t="s">
        <v>17</v>
      </c>
      <c r="E66" s="5" t="s">
        <v>86</v>
      </c>
      <c r="F66" s="5" t="s">
        <v>38</v>
      </c>
      <c r="G66" s="5" t="s">
        <v>125</v>
      </c>
      <c r="H66" s="7">
        <v>45951</v>
      </c>
      <c r="I66" s="7">
        <v>45960</v>
      </c>
      <c r="J66" s="5" t="s">
        <v>184</v>
      </c>
      <c r="K66" s="5" t="s">
        <v>59</v>
      </c>
      <c r="L66" s="8">
        <v>189136.82</v>
      </c>
      <c r="M66" s="5" t="s">
        <v>72</v>
      </c>
      <c r="N66" s="5" t="s">
        <v>24</v>
      </c>
      <c r="O66" s="5" t="s">
        <v>41</v>
      </c>
      <c r="P66" s="5" t="str">
        <f>IF(hospital_patient_unclean_500__2[[#This Row],[Age]]&lt;18,"0-17",IF(hospital_patient_unclean_500__2[[#This Row],[Age]]&lt;36,"18-35",IF(hospital_patient_unclean_500__2[[#This Row],[Age]]&lt;51,"36-50",IF(hospital_patient_unclean_500__2[[#This Row],[Age]]&lt;66,"51-65","66+"))))</f>
        <v>18-35</v>
      </c>
    </row>
    <row r="67" spans="1:16" x14ac:dyDescent="0.3">
      <c r="A67" s="5" t="s">
        <v>227</v>
      </c>
      <c r="B67" s="5" t="s">
        <v>228</v>
      </c>
      <c r="C67" s="6">
        <v>0</v>
      </c>
      <c r="D67" s="5" t="s">
        <v>51</v>
      </c>
      <c r="E67" s="5" t="s">
        <v>64</v>
      </c>
      <c r="F67" s="5" t="s">
        <v>38</v>
      </c>
      <c r="G67" s="5" t="s">
        <v>125</v>
      </c>
      <c r="H67" s="7">
        <v>45890</v>
      </c>
      <c r="I67" s="7">
        <v>45897</v>
      </c>
      <c r="J67" s="5" t="s">
        <v>828</v>
      </c>
      <c r="K67" s="5" t="s">
        <v>39</v>
      </c>
      <c r="L67" s="8">
        <v>20999.67</v>
      </c>
      <c r="M67" s="5" t="s">
        <v>99</v>
      </c>
      <c r="N67" s="5" t="s">
        <v>65</v>
      </c>
      <c r="O67" s="5" t="s">
        <v>25</v>
      </c>
      <c r="P67" s="5" t="str">
        <f>IF(hospital_patient_unclean_500__2[[#This Row],[Age]]&lt;18,"0-17",IF(hospital_patient_unclean_500__2[[#This Row],[Age]]&lt;36,"18-35",IF(hospital_patient_unclean_500__2[[#This Row],[Age]]&lt;51,"36-50",IF(hospital_patient_unclean_500__2[[#This Row],[Age]]&lt;66,"51-65","66+"))))</f>
        <v>0-17</v>
      </c>
    </row>
    <row r="68" spans="1:16" x14ac:dyDescent="0.3">
      <c r="A68" s="5" t="s">
        <v>229</v>
      </c>
      <c r="B68" s="5" t="s">
        <v>819</v>
      </c>
      <c r="C68" s="6">
        <v>72</v>
      </c>
      <c r="D68" s="5" t="s">
        <v>51</v>
      </c>
      <c r="E68" s="5" t="s">
        <v>819</v>
      </c>
      <c r="F68" s="5" t="s">
        <v>28</v>
      </c>
      <c r="G68" s="5" t="s">
        <v>195</v>
      </c>
      <c r="H68" s="7">
        <v>45880</v>
      </c>
      <c r="I68" s="7">
        <v>45894</v>
      </c>
      <c r="J68" s="5" t="s">
        <v>189</v>
      </c>
      <c r="K68" s="5" t="s">
        <v>835</v>
      </c>
      <c r="L68" s="8">
        <v>269850.53999999998</v>
      </c>
      <c r="M68" s="5" t="s">
        <v>40</v>
      </c>
      <c r="N68" s="5" t="s">
        <v>24</v>
      </c>
      <c r="O68" s="5" t="s">
        <v>25</v>
      </c>
      <c r="P68" s="5" t="str">
        <f>IF(hospital_patient_unclean_500__2[[#This Row],[Age]]&lt;18,"0-17",IF(hospital_patient_unclean_500__2[[#This Row],[Age]]&lt;36,"18-35",IF(hospital_patient_unclean_500__2[[#This Row],[Age]]&lt;51,"36-50",IF(hospital_patient_unclean_500__2[[#This Row],[Age]]&lt;66,"51-65","66+"))))</f>
        <v>66+</v>
      </c>
    </row>
    <row r="69" spans="1:16" x14ac:dyDescent="0.3">
      <c r="A69" s="5" t="s">
        <v>230</v>
      </c>
      <c r="B69" s="5" t="s">
        <v>231</v>
      </c>
      <c r="C69" s="6">
        <v>32</v>
      </c>
      <c r="D69" s="5" t="s">
        <v>17</v>
      </c>
      <c r="E69" s="5" t="s">
        <v>18</v>
      </c>
      <c r="F69" s="5" t="s">
        <v>44</v>
      </c>
      <c r="G69" s="5" t="s">
        <v>819</v>
      </c>
      <c r="H69" s="7">
        <v>45784</v>
      </c>
      <c r="I69" s="7">
        <v>45822</v>
      </c>
      <c r="J69" s="5" t="s">
        <v>232</v>
      </c>
      <c r="K69" s="5" t="s">
        <v>160</v>
      </c>
      <c r="L69" s="8">
        <v>29938.95</v>
      </c>
      <c r="M69" s="5" t="s">
        <v>819</v>
      </c>
      <c r="N69" s="5" t="s">
        <v>61</v>
      </c>
      <c r="O69" s="5" t="s">
        <v>41</v>
      </c>
      <c r="P69" s="5" t="str">
        <f>IF(hospital_patient_unclean_500__2[[#This Row],[Age]]&lt;18,"0-17",IF(hospital_patient_unclean_500__2[[#This Row],[Age]]&lt;36,"18-35",IF(hospital_patient_unclean_500__2[[#This Row],[Age]]&lt;51,"36-50",IF(hospital_patient_unclean_500__2[[#This Row],[Age]]&lt;66,"51-65","66+"))))</f>
        <v>18-35</v>
      </c>
    </row>
    <row r="70" spans="1:16" x14ac:dyDescent="0.3">
      <c r="A70" s="5" t="s">
        <v>233</v>
      </c>
      <c r="B70" s="5" t="s">
        <v>234</v>
      </c>
      <c r="C70" s="6">
        <v>77</v>
      </c>
      <c r="D70" s="5" t="s">
        <v>51</v>
      </c>
      <c r="E70" s="5" t="s">
        <v>84</v>
      </c>
      <c r="F70" s="5" t="s">
        <v>132</v>
      </c>
      <c r="G70" s="5" t="s">
        <v>138</v>
      </c>
      <c r="H70" s="7">
        <v>45747</v>
      </c>
      <c r="I70" s="7">
        <v>45750</v>
      </c>
      <c r="J70" s="5" t="s">
        <v>139</v>
      </c>
      <c r="K70" s="5" t="s">
        <v>140</v>
      </c>
      <c r="L70" s="8">
        <v>146946.73000000001</v>
      </c>
      <c r="M70" s="5" t="s">
        <v>72</v>
      </c>
      <c r="N70" s="5" t="s">
        <v>61</v>
      </c>
      <c r="O70" s="5" t="s">
        <v>820</v>
      </c>
      <c r="P70" s="5" t="str">
        <f>IF(hospital_patient_unclean_500__2[[#This Row],[Age]]&lt;18,"0-17",IF(hospital_patient_unclean_500__2[[#This Row],[Age]]&lt;36,"18-35",IF(hospital_patient_unclean_500__2[[#This Row],[Age]]&lt;51,"36-50",IF(hospital_patient_unclean_500__2[[#This Row],[Age]]&lt;66,"51-65","66+"))))</f>
        <v>66+</v>
      </c>
    </row>
    <row r="71" spans="1:16" x14ac:dyDescent="0.3">
      <c r="A71" s="5" t="s">
        <v>235</v>
      </c>
      <c r="B71" s="5" t="s">
        <v>236</v>
      </c>
      <c r="C71" s="6">
        <v>44</v>
      </c>
      <c r="D71" s="5" t="s">
        <v>51</v>
      </c>
      <c r="E71" s="5" t="s">
        <v>86</v>
      </c>
      <c r="F71" s="5" t="s">
        <v>53</v>
      </c>
      <c r="G71" s="5" t="s">
        <v>54</v>
      </c>
      <c r="H71" s="7">
        <v>45854</v>
      </c>
      <c r="I71" s="7">
        <v>45862</v>
      </c>
      <c r="J71" s="5" t="s">
        <v>200</v>
      </c>
      <c r="K71" s="5" t="s">
        <v>201</v>
      </c>
      <c r="L71" s="8">
        <v>340423.43</v>
      </c>
      <c r="M71" s="5" t="s">
        <v>60</v>
      </c>
      <c r="N71" s="5" t="s">
        <v>65</v>
      </c>
      <c r="O71" s="5" t="s">
        <v>34</v>
      </c>
      <c r="P71" s="5" t="str">
        <f>IF(hospital_patient_unclean_500__2[[#This Row],[Age]]&lt;18,"0-17",IF(hospital_patient_unclean_500__2[[#This Row],[Age]]&lt;36,"18-35",IF(hospital_patient_unclean_500__2[[#This Row],[Age]]&lt;51,"36-50",IF(hospital_patient_unclean_500__2[[#This Row],[Age]]&lt;66,"51-65","66+"))))</f>
        <v>36-50</v>
      </c>
    </row>
    <row r="72" spans="1:16" x14ac:dyDescent="0.3">
      <c r="A72" s="5" t="s">
        <v>237</v>
      </c>
      <c r="B72" s="5" t="s">
        <v>819</v>
      </c>
      <c r="C72" s="6">
        <v>44</v>
      </c>
      <c r="D72" s="5" t="s">
        <v>17</v>
      </c>
      <c r="E72" s="5" t="s">
        <v>37</v>
      </c>
      <c r="F72" s="5" t="s">
        <v>38</v>
      </c>
      <c r="G72" s="5" t="s">
        <v>167</v>
      </c>
      <c r="H72" s="7">
        <v>45851</v>
      </c>
      <c r="I72" s="7">
        <v>45857</v>
      </c>
      <c r="J72" s="5" t="s">
        <v>828</v>
      </c>
      <c r="K72" s="5" t="s">
        <v>39</v>
      </c>
      <c r="L72" s="8">
        <v>343098.9</v>
      </c>
      <c r="M72" s="5" t="s">
        <v>99</v>
      </c>
      <c r="N72" s="5" t="s">
        <v>65</v>
      </c>
      <c r="O72" s="5" t="s">
        <v>820</v>
      </c>
      <c r="P72" s="5" t="str">
        <f>IF(hospital_patient_unclean_500__2[[#This Row],[Age]]&lt;18,"0-17",IF(hospital_patient_unclean_500__2[[#This Row],[Age]]&lt;36,"18-35",IF(hospital_patient_unclean_500__2[[#This Row],[Age]]&lt;51,"36-50",IF(hospital_patient_unclean_500__2[[#This Row],[Age]]&lt;66,"51-65","66+"))))</f>
        <v>36-50</v>
      </c>
    </row>
    <row r="73" spans="1:16" x14ac:dyDescent="0.3">
      <c r="A73" s="5" t="s">
        <v>238</v>
      </c>
      <c r="B73" s="5" t="s">
        <v>231</v>
      </c>
      <c r="C73" s="6">
        <v>36</v>
      </c>
      <c r="D73" s="5" t="s">
        <v>17</v>
      </c>
      <c r="E73" s="5" t="s">
        <v>111</v>
      </c>
      <c r="F73" s="5" t="s">
        <v>819</v>
      </c>
      <c r="G73" s="5" t="s">
        <v>167</v>
      </c>
      <c r="H73" s="7">
        <v>45853</v>
      </c>
      <c r="I73" s="7">
        <v>45858</v>
      </c>
      <c r="J73" s="5" t="s">
        <v>828</v>
      </c>
      <c r="K73" s="5" t="s">
        <v>39</v>
      </c>
      <c r="L73" s="8">
        <v>66896.94</v>
      </c>
      <c r="M73" s="5" t="s">
        <v>47</v>
      </c>
      <c r="N73" s="5" t="s">
        <v>24</v>
      </c>
      <c r="O73" s="5" t="s">
        <v>41</v>
      </c>
      <c r="P73" s="5" t="str">
        <f>IF(hospital_patient_unclean_500__2[[#This Row],[Age]]&lt;18,"0-17",IF(hospital_patient_unclean_500__2[[#This Row],[Age]]&lt;36,"18-35",IF(hospital_patient_unclean_500__2[[#This Row],[Age]]&lt;51,"36-50",IF(hospital_patient_unclean_500__2[[#This Row],[Age]]&lt;66,"51-65","66+"))))</f>
        <v>36-50</v>
      </c>
    </row>
    <row r="74" spans="1:16" x14ac:dyDescent="0.3">
      <c r="A74" s="5" t="s">
        <v>239</v>
      </c>
      <c r="B74" s="5" t="s">
        <v>240</v>
      </c>
      <c r="C74" s="6">
        <v>36</v>
      </c>
      <c r="D74" s="5" t="s">
        <v>51</v>
      </c>
      <c r="E74" s="5" t="s">
        <v>819</v>
      </c>
      <c r="F74" s="5" t="s">
        <v>28</v>
      </c>
      <c r="G74" s="5" t="s">
        <v>29</v>
      </c>
      <c r="H74" s="7">
        <v>45842</v>
      </c>
      <c r="I74" s="7">
        <v>45859</v>
      </c>
      <c r="J74" s="5" t="s">
        <v>30</v>
      </c>
      <c r="K74" s="5" t="s">
        <v>819</v>
      </c>
      <c r="L74" s="8">
        <v>285194.14</v>
      </c>
      <c r="M74" s="5" t="s">
        <v>72</v>
      </c>
      <c r="N74" s="5" t="s">
        <v>65</v>
      </c>
      <c r="O74" s="5" t="s">
        <v>93</v>
      </c>
      <c r="P74" s="5" t="str">
        <f>IF(hospital_patient_unclean_500__2[[#This Row],[Age]]&lt;18,"0-17",IF(hospital_patient_unclean_500__2[[#This Row],[Age]]&lt;36,"18-35",IF(hospital_patient_unclean_500__2[[#This Row],[Age]]&lt;51,"36-50",IF(hospital_patient_unclean_500__2[[#This Row],[Age]]&lt;66,"51-65","66+"))))</f>
        <v>36-50</v>
      </c>
    </row>
    <row r="75" spans="1:16" x14ac:dyDescent="0.3">
      <c r="A75" s="5" t="s">
        <v>840</v>
      </c>
      <c r="B75" s="5" t="s">
        <v>241</v>
      </c>
      <c r="C75" s="6">
        <v>44</v>
      </c>
      <c r="D75" s="5" t="s">
        <v>51</v>
      </c>
      <c r="E75" s="5" t="s">
        <v>819</v>
      </c>
      <c r="F75" s="5" t="s">
        <v>19</v>
      </c>
      <c r="G75" s="5" t="s">
        <v>105</v>
      </c>
      <c r="H75" s="7">
        <v>46014</v>
      </c>
      <c r="I75" s="7">
        <v>46018</v>
      </c>
      <c r="J75" s="5" t="s">
        <v>120</v>
      </c>
      <c r="K75" s="5" t="s">
        <v>121</v>
      </c>
      <c r="L75" s="8">
        <v>212529.26</v>
      </c>
      <c r="M75" s="5" t="s">
        <v>32</v>
      </c>
      <c r="N75" s="5" t="s">
        <v>65</v>
      </c>
      <c r="O75" s="5" t="s">
        <v>34</v>
      </c>
      <c r="P75" s="5" t="str">
        <f>IF(hospital_patient_unclean_500__2[[#This Row],[Age]]&lt;18,"0-17",IF(hospital_patient_unclean_500__2[[#This Row],[Age]]&lt;36,"18-35",IF(hospital_patient_unclean_500__2[[#This Row],[Age]]&lt;51,"36-50",IF(hospital_patient_unclean_500__2[[#This Row],[Age]]&lt;66,"51-65","66+"))))</f>
        <v>36-50</v>
      </c>
    </row>
    <row r="76" spans="1:16" x14ac:dyDescent="0.3">
      <c r="A76" s="5" t="s">
        <v>242</v>
      </c>
      <c r="B76" s="5" t="s">
        <v>243</v>
      </c>
      <c r="C76" s="6">
        <v>37</v>
      </c>
      <c r="D76" s="5" t="s">
        <v>819</v>
      </c>
      <c r="E76" s="5" t="s">
        <v>124</v>
      </c>
      <c r="F76" s="5" t="s">
        <v>44</v>
      </c>
      <c r="G76" s="5" t="s">
        <v>221</v>
      </c>
      <c r="H76" s="7">
        <v>45682</v>
      </c>
      <c r="I76" s="7">
        <v>45689</v>
      </c>
      <c r="J76" s="5" t="s">
        <v>244</v>
      </c>
      <c r="K76" s="5" t="s">
        <v>819</v>
      </c>
      <c r="L76" s="8">
        <v>177019.16</v>
      </c>
      <c r="M76" s="5" t="s">
        <v>40</v>
      </c>
      <c r="N76" s="5" t="s">
        <v>65</v>
      </c>
      <c r="O76" s="5" t="s">
        <v>820</v>
      </c>
      <c r="P76" s="5" t="str">
        <f>IF(hospital_patient_unclean_500__2[[#This Row],[Age]]&lt;18,"0-17",IF(hospital_patient_unclean_500__2[[#This Row],[Age]]&lt;36,"18-35",IF(hospital_patient_unclean_500__2[[#This Row],[Age]]&lt;51,"36-50",IF(hospital_patient_unclean_500__2[[#This Row],[Age]]&lt;66,"51-65","66+"))))</f>
        <v>36-50</v>
      </c>
    </row>
    <row r="77" spans="1:16" x14ac:dyDescent="0.3">
      <c r="A77" s="5" t="s">
        <v>245</v>
      </c>
      <c r="B77" s="5" t="s">
        <v>246</v>
      </c>
      <c r="C77" s="6">
        <v>23</v>
      </c>
      <c r="D77" s="5" t="s">
        <v>51</v>
      </c>
      <c r="E77" s="5" t="s">
        <v>18</v>
      </c>
      <c r="F77" s="5" t="s">
        <v>87</v>
      </c>
      <c r="G77" s="5" t="s">
        <v>112</v>
      </c>
      <c r="H77" s="7">
        <v>46007</v>
      </c>
      <c r="I77" s="7">
        <v>46020</v>
      </c>
      <c r="J77" s="5" t="s">
        <v>216</v>
      </c>
      <c r="K77" s="5" t="s">
        <v>839</v>
      </c>
      <c r="L77" s="8">
        <v>123352.72</v>
      </c>
      <c r="M77" s="5" t="s">
        <v>32</v>
      </c>
      <c r="N77" s="5" t="s">
        <v>819</v>
      </c>
      <c r="O77" s="5" t="s">
        <v>25</v>
      </c>
      <c r="P77" s="5" t="str">
        <f>IF(hospital_patient_unclean_500__2[[#This Row],[Age]]&lt;18,"0-17",IF(hospital_patient_unclean_500__2[[#This Row],[Age]]&lt;36,"18-35",IF(hospital_patient_unclean_500__2[[#This Row],[Age]]&lt;51,"36-50",IF(hospital_patient_unclean_500__2[[#This Row],[Age]]&lt;66,"51-65","66+"))))</f>
        <v>18-35</v>
      </c>
    </row>
    <row r="78" spans="1:16" x14ac:dyDescent="0.3">
      <c r="A78" s="5" t="s">
        <v>247</v>
      </c>
      <c r="B78" s="5" t="s">
        <v>248</v>
      </c>
      <c r="C78" s="6">
        <v>5</v>
      </c>
      <c r="D78" s="5" t="s">
        <v>17</v>
      </c>
      <c r="E78" s="5" t="s">
        <v>84</v>
      </c>
      <c r="F78" s="5" t="s">
        <v>87</v>
      </c>
      <c r="G78" s="5" t="s">
        <v>112</v>
      </c>
      <c r="H78" s="7">
        <v>45802</v>
      </c>
      <c r="I78" s="7">
        <v>45850</v>
      </c>
      <c r="J78" s="5" t="s">
        <v>192</v>
      </c>
      <c r="K78" s="5" t="s">
        <v>193</v>
      </c>
      <c r="L78" s="8">
        <v>303411.21999999997</v>
      </c>
      <c r="M78" s="5" t="s">
        <v>23</v>
      </c>
      <c r="N78" s="5" t="s">
        <v>61</v>
      </c>
      <c r="O78" s="5" t="s">
        <v>41</v>
      </c>
      <c r="P78" s="5" t="str">
        <f>IF(hospital_patient_unclean_500__2[[#This Row],[Age]]&lt;18,"0-17",IF(hospital_patient_unclean_500__2[[#This Row],[Age]]&lt;36,"18-35",IF(hospital_patient_unclean_500__2[[#This Row],[Age]]&lt;51,"36-50",IF(hospital_patient_unclean_500__2[[#This Row],[Age]]&lt;66,"51-65","66+"))))</f>
        <v>0-17</v>
      </c>
    </row>
    <row r="79" spans="1:16" x14ac:dyDescent="0.3">
      <c r="A79" s="5" t="s">
        <v>249</v>
      </c>
      <c r="B79" s="5" t="s">
        <v>129</v>
      </c>
      <c r="C79" s="6">
        <v>42</v>
      </c>
      <c r="D79" s="5" t="s">
        <v>17</v>
      </c>
      <c r="E79" s="5" t="s">
        <v>124</v>
      </c>
      <c r="F79" s="5" t="s">
        <v>28</v>
      </c>
      <c r="G79" s="5" t="s">
        <v>819</v>
      </c>
      <c r="H79" s="7">
        <v>45668</v>
      </c>
      <c r="I79" s="7">
        <v>45679</v>
      </c>
      <c r="J79" s="5" t="s">
        <v>30</v>
      </c>
      <c r="K79" s="5" t="s">
        <v>31</v>
      </c>
      <c r="L79" s="8">
        <v>276272.88</v>
      </c>
      <c r="M79" s="5" t="s">
        <v>47</v>
      </c>
      <c r="N79" s="5" t="s">
        <v>65</v>
      </c>
      <c r="O79" s="5" t="s">
        <v>820</v>
      </c>
      <c r="P79" s="5" t="str">
        <f>IF(hospital_patient_unclean_500__2[[#This Row],[Age]]&lt;18,"0-17",IF(hospital_patient_unclean_500__2[[#This Row],[Age]]&lt;36,"18-35",IF(hospital_patient_unclean_500__2[[#This Row],[Age]]&lt;51,"36-50",IF(hospital_patient_unclean_500__2[[#This Row],[Age]]&lt;66,"51-65","66+"))))</f>
        <v>36-50</v>
      </c>
    </row>
    <row r="80" spans="1:16" x14ac:dyDescent="0.3">
      <c r="A80" s="5" t="s">
        <v>250</v>
      </c>
      <c r="B80" s="5" t="s">
        <v>251</v>
      </c>
      <c r="C80" s="6">
        <v>2</v>
      </c>
      <c r="D80" s="5" t="s">
        <v>51</v>
      </c>
      <c r="E80" s="5" t="s">
        <v>18</v>
      </c>
      <c r="F80" s="5" t="s">
        <v>28</v>
      </c>
      <c r="G80" s="5" t="s">
        <v>101</v>
      </c>
      <c r="H80" s="7">
        <v>45931</v>
      </c>
      <c r="I80" s="7">
        <v>45932</v>
      </c>
      <c r="J80" s="5" t="s">
        <v>30</v>
      </c>
      <c r="K80" s="5" t="s">
        <v>31</v>
      </c>
      <c r="L80" s="8">
        <v>154201.07</v>
      </c>
      <c r="M80" s="5" t="s">
        <v>60</v>
      </c>
      <c r="N80" s="5" t="s">
        <v>61</v>
      </c>
      <c r="O80" s="5" t="s">
        <v>820</v>
      </c>
      <c r="P80" s="5" t="str">
        <f>IF(hospital_patient_unclean_500__2[[#This Row],[Age]]&lt;18,"0-17",IF(hospital_patient_unclean_500__2[[#This Row],[Age]]&lt;36,"18-35",IF(hospital_patient_unclean_500__2[[#This Row],[Age]]&lt;51,"36-50",IF(hospital_patient_unclean_500__2[[#This Row],[Age]]&lt;66,"51-65","66+"))))</f>
        <v>0-17</v>
      </c>
    </row>
    <row r="81" spans="1:16" x14ac:dyDescent="0.3">
      <c r="A81" s="5" t="s">
        <v>252</v>
      </c>
      <c r="B81" s="5" t="s">
        <v>253</v>
      </c>
      <c r="C81" s="6">
        <v>32</v>
      </c>
      <c r="D81" s="5" t="s">
        <v>17</v>
      </c>
      <c r="E81" s="5" t="s">
        <v>64</v>
      </c>
      <c r="F81" s="5" t="s">
        <v>28</v>
      </c>
      <c r="G81" s="5" t="s">
        <v>195</v>
      </c>
      <c r="H81" s="7">
        <v>45804</v>
      </c>
      <c r="I81" s="7">
        <v>45814</v>
      </c>
      <c r="J81" s="5" t="s">
        <v>189</v>
      </c>
      <c r="K81" s="5" t="s">
        <v>835</v>
      </c>
      <c r="L81" s="8">
        <v>229647.94</v>
      </c>
      <c r="M81" s="5" t="s">
        <v>40</v>
      </c>
      <c r="N81" s="5" t="s">
        <v>24</v>
      </c>
      <c r="O81" s="5" t="s">
        <v>34</v>
      </c>
      <c r="P81" s="5" t="str">
        <f>IF(hospital_patient_unclean_500__2[[#This Row],[Age]]&lt;18,"0-17",IF(hospital_patient_unclean_500__2[[#This Row],[Age]]&lt;36,"18-35",IF(hospital_patient_unclean_500__2[[#This Row],[Age]]&lt;51,"36-50",IF(hospital_patient_unclean_500__2[[#This Row],[Age]]&lt;66,"51-65","66+"))))</f>
        <v>18-35</v>
      </c>
    </row>
    <row r="82" spans="1:16" x14ac:dyDescent="0.3">
      <c r="A82" s="5" t="s">
        <v>254</v>
      </c>
      <c r="B82" s="5" t="s">
        <v>819</v>
      </c>
      <c r="C82" s="6">
        <v>42</v>
      </c>
      <c r="D82" s="5" t="s">
        <v>17</v>
      </c>
      <c r="E82" s="5" t="s">
        <v>43</v>
      </c>
      <c r="F82" s="5" t="s">
        <v>38</v>
      </c>
      <c r="G82" s="5" t="s">
        <v>125</v>
      </c>
      <c r="H82" s="7">
        <v>46009</v>
      </c>
      <c r="I82" s="7">
        <v>46014</v>
      </c>
      <c r="J82" s="5" t="s">
        <v>97</v>
      </c>
      <c r="K82" s="5" t="s">
        <v>98</v>
      </c>
      <c r="L82" s="8">
        <v>229811.18</v>
      </c>
      <c r="M82" s="5" t="s">
        <v>99</v>
      </c>
      <c r="N82" s="5" t="s">
        <v>48</v>
      </c>
      <c r="O82" s="5" t="s">
        <v>34</v>
      </c>
      <c r="P82" s="5" t="str">
        <f>IF(hospital_patient_unclean_500__2[[#This Row],[Age]]&lt;18,"0-17",IF(hospital_patient_unclean_500__2[[#This Row],[Age]]&lt;36,"18-35",IF(hospital_patient_unclean_500__2[[#This Row],[Age]]&lt;51,"36-50",IF(hospital_patient_unclean_500__2[[#This Row],[Age]]&lt;66,"51-65","66+"))))</f>
        <v>36-50</v>
      </c>
    </row>
    <row r="83" spans="1:16" x14ac:dyDescent="0.3">
      <c r="A83" s="5" t="s">
        <v>255</v>
      </c>
      <c r="B83" s="5" t="s">
        <v>246</v>
      </c>
      <c r="C83" s="6">
        <v>31</v>
      </c>
      <c r="D83" s="5" t="s">
        <v>51</v>
      </c>
      <c r="E83" s="5" t="s">
        <v>37</v>
      </c>
      <c r="F83" s="5" t="s">
        <v>819</v>
      </c>
      <c r="G83" s="5" t="s">
        <v>54</v>
      </c>
      <c r="H83" s="7">
        <v>45916</v>
      </c>
      <c r="I83" s="7">
        <v>45927</v>
      </c>
      <c r="J83" s="5" t="s">
        <v>70</v>
      </c>
      <c r="K83" s="5" t="s">
        <v>71</v>
      </c>
      <c r="L83" s="8">
        <v>279358.83</v>
      </c>
      <c r="M83" s="5" t="s">
        <v>40</v>
      </c>
      <c r="N83" s="5" t="s">
        <v>24</v>
      </c>
      <c r="O83" s="5" t="s">
        <v>93</v>
      </c>
      <c r="P83" s="5" t="str">
        <f>IF(hospital_patient_unclean_500__2[[#This Row],[Age]]&lt;18,"0-17",IF(hospital_patient_unclean_500__2[[#This Row],[Age]]&lt;36,"18-35",IF(hospital_patient_unclean_500__2[[#This Row],[Age]]&lt;51,"36-50",IF(hospital_patient_unclean_500__2[[#This Row],[Age]]&lt;66,"51-65","66+"))))</f>
        <v>18-35</v>
      </c>
    </row>
    <row r="84" spans="1:16" x14ac:dyDescent="0.3">
      <c r="A84" s="5" t="s">
        <v>256</v>
      </c>
      <c r="B84" s="5" t="s">
        <v>36</v>
      </c>
      <c r="C84" s="6">
        <v>1</v>
      </c>
      <c r="D84" s="5" t="s">
        <v>51</v>
      </c>
      <c r="E84" s="5" t="s">
        <v>18</v>
      </c>
      <c r="F84" s="5" t="s">
        <v>53</v>
      </c>
      <c r="G84" s="5" t="s">
        <v>69</v>
      </c>
      <c r="H84" s="7">
        <v>45979</v>
      </c>
      <c r="I84" s="7">
        <v>45985</v>
      </c>
      <c r="J84" s="5" t="s">
        <v>107</v>
      </c>
      <c r="K84" s="5" t="s">
        <v>108</v>
      </c>
      <c r="L84" s="8">
        <v>144977.74</v>
      </c>
      <c r="M84" s="5" t="s">
        <v>72</v>
      </c>
      <c r="N84" s="5" t="s">
        <v>24</v>
      </c>
      <c r="O84" s="5" t="s">
        <v>34</v>
      </c>
      <c r="P84" s="5" t="str">
        <f>IF(hospital_patient_unclean_500__2[[#This Row],[Age]]&lt;18,"0-17",IF(hospital_patient_unclean_500__2[[#This Row],[Age]]&lt;36,"18-35",IF(hospital_patient_unclean_500__2[[#This Row],[Age]]&lt;51,"36-50",IF(hospital_patient_unclean_500__2[[#This Row],[Age]]&lt;66,"51-65","66+"))))</f>
        <v>0-17</v>
      </c>
    </row>
    <row r="85" spans="1:16" x14ac:dyDescent="0.3">
      <c r="A85" s="5" t="s">
        <v>257</v>
      </c>
      <c r="B85" s="5" t="s">
        <v>258</v>
      </c>
      <c r="C85" s="6">
        <v>31</v>
      </c>
      <c r="D85" s="5" t="s">
        <v>17</v>
      </c>
      <c r="E85" s="5" t="s">
        <v>124</v>
      </c>
      <c r="F85" s="5" t="s">
        <v>38</v>
      </c>
      <c r="G85" s="5" t="s">
        <v>167</v>
      </c>
      <c r="H85" s="7">
        <v>45661</v>
      </c>
      <c r="I85" s="7">
        <v>45666</v>
      </c>
      <c r="J85" s="5" t="s">
        <v>97</v>
      </c>
      <c r="K85" s="5" t="s">
        <v>98</v>
      </c>
      <c r="L85" s="8">
        <v>33830.339999999997</v>
      </c>
      <c r="M85" s="5" t="s">
        <v>47</v>
      </c>
      <c r="N85" s="5" t="s">
        <v>65</v>
      </c>
      <c r="O85" s="5" t="s">
        <v>25</v>
      </c>
      <c r="P85" s="5" t="str">
        <f>IF(hospital_patient_unclean_500__2[[#This Row],[Age]]&lt;18,"0-17",IF(hospital_patient_unclean_500__2[[#This Row],[Age]]&lt;36,"18-35",IF(hospital_patient_unclean_500__2[[#This Row],[Age]]&lt;51,"36-50",IF(hospital_patient_unclean_500__2[[#This Row],[Age]]&lt;66,"51-65","66+"))))</f>
        <v>18-35</v>
      </c>
    </row>
    <row r="86" spans="1:16" x14ac:dyDescent="0.3">
      <c r="A86" s="5" t="s">
        <v>259</v>
      </c>
      <c r="B86" s="5" t="s">
        <v>260</v>
      </c>
      <c r="C86" s="6">
        <v>73</v>
      </c>
      <c r="D86" s="5" t="s">
        <v>819</v>
      </c>
      <c r="E86" s="5" t="s">
        <v>68</v>
      </c>
      <c r="F86" s="5" t="s">
        <v>28</v>
      </c>
      <c r="G86" s="5" t="s">
        <v>29</v>
      </c>
      <c r="H86" s="7">
        <v>45759</v>
      </c>
      <c r="I86" s="7">
        <v>45769</v>
      </c>
      <c r="J86" s="5" t="s">
        <v>189</v>
      </c>
      <c r="K86" s="5" t="s">
        <v>835</v>
      </c>
      <c r="L86" s="8">
        <v>19666.78</v>
      </c>
      <c r="M86" s="5" t="s">
        <v>72</v>
      </c>
      <c r="N86" s="5" t="s">
        <v>65</v>
      </c>
      <c r="O86" s="5" t="s">
        <v>34</v>
      </c>
      <c r="P86" s="5" t="str">
        <f>IF(hospital_patient_unclean_500__2[[#This Row],[Age]]&lt;18,"0-17",IF(hospital_patient_unclean_500__2[[#This Row],[Age]]&lt;36,"18-35",IF(hospital_patient_unclean_500__2[[#This Row],[Age]]&lt;51,"36-50",IF(hospital_patient_unclean_500__2[[#This Row],[Age]]&lt;66,"51-65","66+"))))</f>
        <v>66+</v>
      </c>
    </row>
    <row r="87" spans="1:16" x14ac:dyDescent="0.3">
      <c r="A87" s="5" t="s">
        <v>261</v>
      </c>
      <c r="B87" s="5" t="s">
        <v>262</v>
      </c>
      <c r="C87" s="6">
        <v>37</v>
      </c>
      <c r="D87" s="5" t="s">
        <v>17</v>
      </c>
      <c r="E87" s="5" t="s">
        <v>84</v>
      </c>
      <c r="F87" s="5" t="s">
        <v>38</v>
      </c>
      <c r="G87" s="5" t="s">
        <v>167</v>
      </c>
      <c r="H87" s="7">
        <v>45967</v>
      </c>
      <c r="I87" s="7">
        <v>45982</v>
      </c>
      <c r="J87" s="5" t="s">
        <v>97</v>
      </c>
      <c r="K87" s="5" t="s">
        <v>98</v>
      </c>
      <c r="L87" s="8">
        <v>20324.259999999998</v>
      </c>
      <c r="M87" s="5" t="s">
        <v>47</v>
      </c>
      <c r="N87" s="5" t="s">
        <v>48</v>
      </c>
      <c r="O87" s="5" t="s">
        <v>820</v>
      </c>
      <c r="P87" s="5" t="str">
        <f>IF(hospital_patient_unclean_500__2[[#This Row],[Age]]&lt;18,"0-17",IF(hospital_patient_unclean_500__2[[#This Row],[Age]]&lt;36,"18-35",IF(hospital_patient_unclean_500__2[[#This Row],[Age]]&lt;51,"36-50",IF(hospital_patient_unclean_500__2[[#This Row],[Age]]&lt;66,"51-65","66+"))))</f>
        <v>36-50</v>
      </c>
    </row>
    <row r="88" spans="1:16" x14ac:dyDescent="0.3">
      <c r="A88" s="5" t="s">
        <v>263</v>
      </c>
      <c r="B88" s="5" t="s">
        <v>264</v>
      </c>
      <c r="C88" s="6">
        <v>11</v>
      </c>
      <c r="D88" s="5" t="s">
        <v>17</v>
      </c>
      <c r="E88" s="5" t="s">
        <v>124</v>
      </c>
      <c r="F88" s="5" t="s">
        <v>28</v>
      </c>
      <c r="G88" s="5" t="s">
        <v>195</v>
      </c>
      <c r="H88" s="7">
        <v>45928</v>
      </c>
      <c r="I88" s="7">
        <v>45938</v>
      </c>
      <c r="J88" s="5" t="s">
        <v>189</v>
      </c>
      <c r="K88" s="5" t="s">
        <v>835</v>
      </c>
      <c r="L88" s="8">
        <v>320565.07</v>
      </c>
      <c r="M88" s="5" t="s">
        <v>60</v>
      </c>
      <c r="N88" s="5" t="s">
        <v>65</v>
      </c>
      <c r="O88" s="5" t="s">
        <v>25</v>
      </c>
      <c r="P88" s="5" t="str">
        <f>IF(hospital_patient_unclean_500__2[[#This Row],[Age]]&lt;18,"0-17",IF(hospital_patient_unclean_500__2[[#This Row],[Age]]&lt;36,"18-35",IF(hospital_patient_unclean_500__2[[#This Row],[Age]]&lt;51,"36-50",IF(hospital_patient_unclean_500__2[[#This Row],[Age]]&lt;66,"51-65","66+"))))</f>
        <v>0-17</v>
      </c>
    </row>
    <row r="89" spans="1:16" x14ac:dyDescent="0.3">
      <c r="A89" s="5" t="s">
        <v>265</v>
      </c>
      <c r="B89" s="5" t="s">
        <v>266</v>
      </c>
      <c r="C89" s="6">
        <v>47</v>
      </c>
      <c r="D89" s="5" t="s">
        <v>51</v>
      </c>
      <c r="E89" s="5" t="s">
        <v>68</v>
      </c>
      <c r="F89" s="5" t="s">
        <v>19</v>
      </c>
      <c r="G89" s="5" t="s">
        <v>105</v>
      </c>
      <c r="H89" s="7">
        <v>45949</v>
      </c>
      <c r="I89" s="7">
        <v>45961</v>
      </c>
      <c r="J89" s="5" t="s">
        <v>267</v>
      </c>
      <c r="K89" s="5" t="s">
        <v>268</v>
      </c>
      <c r="L89" s="8">
        <v>230031.26</v>
      </c>
      <c r="M89" s="5" t="s">
        <v>32</v>
      </c>
      <c r="N89" s="5" t="s">
        <v>24</v>
      </c>
      <c r="O89" s="5" t="s">
        <v>34</v>
      </c>
      <c r="P89" s="5" t="str">
        <f>IF(hospital_patient_unclean_500__2[[#This Row],[Age]]&lt;18,"0-17",IF(hospital_patient_unclean_500__2[[#This Row],[Age]]&lt;36,"18-35",IF(hospital_patient_unclean_500__2[[#This Row],[Age]]&lt;51,"36-50",IF(hospital_patient_unclean_500__2[[#This Row],[Age]]&lt;66,"51-65","66+"))))</f>
        <v>36-50</v>
      </c>
    </row>
    <row r="90" spans="1:16" x14ac:dyDescent="0.3">
      <c r="A90" s="5" t="s">
        <v>269</v>
      </c>
      <c r="B90" s="5" t="s">
        <v>420</v>
      </c>
      <c r="C90" s="6">
        <v>78</v>
      </c>
      <c r="D90" s="5" t="s">
        <v>51</v>
      </c>
      <c r="E90" s="5" t="s">
        <v>68</v>
      </c>
      <c r="F90" s="5" t="s">
        <v>87</v>
      </c>
      <c r="G90" s="5" t="s">
        <v>819</v>
      </c>
      <c r="H90" s="7">
        <v>45787</v>
      </c>
      <c r="I90" s="7">
        <v>45795</v>
      </c>
      <c r="J90" s="5" t="s">
        <v>171</v>
      </c>
      <c r="K90" s="5" t="s">
        <v>113</v>
      </c>
      <c r="L90" s="8">
        <v>258859.27</v>
      </c>
      <c r="M90" s="5" t="s">
        <v>32</v>
      </c>
      <c r="N90" s="5" t="s">
        <v>48</v>
      </c>
      <c r="O90" s="5" t="s">
        <v>34</v>
      </c>
      <c r="P90" s="5" t="str">
        <f>IF(hospital_patient_unclean_500__2[[#This Row],[Age]]&lt;18,"0-17",IF(hospital_patient_unclean_500__2[[#This Row],[Age]]&lt;36,"18-35",IF(hospital_patient_unclean_500__2[[#This Row],[Age]]&lt;51,"36-50",IF(hospital_patient_unclean_500__2[[#This Row],[Age]]&lt;66,"51-65","66+"))))</f>
        <v>66+</v>
      </c>
    </row>
    <row r="91" spans="1:16" x14ac:dyDescent="0.3">
      <c r="A91" s="5" t="s">
        <v>270</v>
      </c>
      <c r="B91" s="5" t="s">
        <v>271</v>
      </c>
      <c r="C91" s="6">
        <v>40</v>
      </c>
      <c r="D91" s="5" t="s">
        <v>17</v>
      </c>
      <c r="E91" s="5" t="s">
        <v>37</v>
      </c>
      <c r="F91" s="5" t="s">
        <v>44</v>
      </c>
      <c r="G91" s="5" t="s">
        <v>45</v>
      </c>
      <c r="H91" s="7">
        <v>45928</v>
      </c>
      <c r="I91" s="7">
        <v>45940</v>
      </c>
      <c r="J91" s="5" t="s">
        <v>232</v>
      </c>
      <c r="K91" s="5" t="s">
        <v>160</v>
      </c>
      <c r="L91" s="8">
        <v>133462.39999999999</v>
      </c>
      <c r="M91" s="5" t="s">
        <v>23</v>
      </c>
      <c r="N91" s="5" t="s">
        <v>24</v>
      </c>
      <c r="O91" s="5" t="s">
        <v>34</v>
      </c>
      <c r="P91" s="5" t="str">
        <f>IF(hospital_patient_unclean_500__2[[#This Row],[Age]]&lt;18,"0-17",IF(hospital_patient_unclean_500__2[[#This Row],[Age]]&lt;36,"18-35",IF(hospital_patient_unclean_500__2[[#This Row],[Age]]&lt;51,"36-50",IF(hospital_patient_unclean_500__2[[#This Row],[Age]]&lt;66,"51-65","66+"))))</f>
        <v>36-50</v>
      </c>
    </row>
    <row r="92" spans="1:16" x14ac:dyDescent="0.3">
      <c r="A92" s="5" t="s">
        <v>272</v>
      </c>
      <c r="B92" s="5" t="s">
        <v>273</v>
      </c>
      <c r="C92" s="6">
        <v>44</v>
      </c>
      <c r="D92" s="5" t="s">
        <v>17</v>
      </c>
      <c r="E92" s="5" t="s">
        <v>43</v>
      </c>
      <c r="F92" s="5" t="s">
        <v>53</v>
      </c>
      <c r="G92" s="5" t="s">
        <v>143</v>
      </c>
      <c r="H92" s="7">
        <v>45882</v>
      </c>
      <c r="I92" s="7">
        <v>45935</v>
      </c>
      <c r="J92" s="5" t="s">
        <v>55</v>
      </c>
      <c r="K92" s="5" t="s">
        <v>56</v>
      </c>
      <c r="L92" s="8">
        <v>326064.67</v>
      </c>
      <c r="M92" s="5" t="s">
        <v>819</v>
      </c>
      <c r="N92" s="5" t="s">
        <v>33</v>
      </c>
      <c r="O92" s="5" t="s">
        <v>41</v>
      </c>
      <c r="P92" s="5" t="str">
        <f>IF(hospital_patient_unclean_500__2[[#This Row],[Age]]&lt;18,"0-17",IF(hospital_patient_unclean_500__2[[#This Row],[Age]]&lt;36,"18-35",IF(hospital_patient_unclean_500__2[[#This Row],[Age]]&lt;51,"36-50",IF(hospital_patient_unclean_500__2[[#This Row],[Age]]&lt;66,"51-65","66+"))))</f>
        <v>36-50</v>
      </c>
    </row>
    <row r="93" spans="1:16" x14ac:dyDescent="0.3">
      <c r="A93" s="5" t="s">
        <v>274</v>
      </c>
      <c r="B93" s="5" t="s">
        <v>275</v>
      </c>
      <c r="C93" s="6">
        <v>16</v>
      </c>
      <c r="D93" s="5" t="s">
        <v>51</v>
      </c>
      <c r="E93" s="5" t="s">
        <v>52</v>
      </c>
      <c r="F93" s="5" t="s">
        <v>19</v>
      </c>
      <c r="G93" s="5" t="s">
        <v>105</v>
      </c>
      <c r="H93" s="7">
        <v>45912</v>
      </c>
      <c r="I93" s="7">
        <v>45929</v>
      </c>
      <c r="J93" s="5" t="s">
        <v>21</v>
      </c>
      <c r="K93" s="5" t="s">
        <v>22</v>
      </c>
      <c r="L93" s="8">
        <v>63936.59</v>
      </c>
      <c r="M93" s="5" t="s">
        <v>99</v>
      </c>
      <c r="N93" s="5" t="s">
        <v>24</v>
      </c>
      <c r="O93" s="5" t="s">
        <v>820</v>
      </c>
      <c r="P93" s="5" t="str">
        <f>IF(hospital_patient_unclean_500__2[[#This Row],[Age]]&lt;18,"0-17",IF(hospital_patient_unclean_500__2[[#This Row],[Age]]&lt;36,"18-35",IF(hospital_patient_unclean_500__2[[#This Row],[Age]]&lt;51,"36-50",IF(hospital_patient_unclean_500__2[[#This Row],[Age]]&lt;66,"51-65","66+"))))</f>
        <v>0-17</v>
      </c>
    </row>
    <row r="94" spans="1:16" x14ac:dyDescent="0.3">
      <c r="A94" s="5" t="s">
        <v>276</v>
      </c>
      <c r="B94" s="5" t="s">
        <v>205</v>
      </c>
      <c r="C94" s="6">
        <v>43</v>
      </c>
      <c r="D94" s="5" t="s">
        <v>51</v>
      </c>
      <c r="E94" s="5" t="s">
        <v>86</v>
      </c>
      <c r="F94" s="5" t="s">
        <v>38</v>
      </c>
      <c r="G94" s="5" t="s">
        <v>79</v>
      </c>
      <c r="H94" s="7">
        <v>46011</v>
      </c>
      <c r="I94" s="7">
        <v>46022</v>
      </c>
      <c r="J94" s="5" t="s">
        <v>819</v>
      </c>
      <c r="K94" s="5" t="s">
        <v>98</v>
      </c>
      <c r="L94" s="8">
        <v>240187.3</v>
      </c>
      <c r="M94" s="5" t="s">
        <v>23</v>
      </c>
      <c r="N94" s="5" t="s">
        <v>24</v>
      </c>
      <c r="O94" s="5" t="s">
        <v>34</v>
      </c>
      <c r="P94" s="5" t="str">
        <f>IF(hospital_patient_unclean_500__2[[#This Row],[Age]]&lt;18,"0-17",IF(hospital_patient_unclean_500__2[[#This Row],[Age]]&lt;36,"18-35",IF(hospital_patient_unclean_500__2[[#This Row],[Age]]&lt;51,"36-50",IF(hospital_patient_unclean_500__2[[#This Row],[Age]]&lt;66,"51-65","66+"))))</f>
        <v>36-50</v>
      </c>
    </row>
    <row r="95" spans="1:16" x14ac:dyDescent="0.3">
      <c r="A95" s="5" t="s">
        <v>277</v>
      </c>
      <c r="B95" s="5" t="s">
        <v>278</v>
      </c>
      <c r="C95" s="6">
        <v>51</v>
      </c>
      <c r="D95" s="5" t="s">
        <v>17</v>
      </c>
      <c r="E95" s="5" t="s">
        <v>84</v>
      </c>
      <c r="F95" s="5" t="s">
        <v>19</v>
      </c>
      <c r="G95" s="5" t="s">
        <v>20</v>
      </c>
      <c r="H95" s="7">
        <v>45754</v>
      </c>
      <c r="I95" s="7">
        <v>45765</v>
      </c>
      <c r="J95" s="5" t="s">
        <v>21</v>
      </c>
      <c r="K95" s="5" t="s">
        <v>22</v>
      </c>
      <c r="L95" s="8">
        <v>261143.73</v>
      </c>
      <c r="M95" s="5" t="s">
        <v>32</v>
      </c>
      <c r="N95" s="5" t="s">
        <v>61</v>
      </c>
      <c r="O95" s="5" t="s">
        <v>820</v>
      </c>
      <c r="P95" s="5" t="str">
        <f>IF(hospital_patient_unclean_500__2[[#This Row],[Age]]&lt;18,"0-17",IF(hospital_patient_unclean_500__2[[#This Row],[Age]]&lt;36,"18-35",IF(hospital_patient_unclean_500__2[[#This Row],[Age]]&lt;51,"36-50",IF(hospital_patient_unclean_500__2[[#This Row],[Age]]&lt;66,"51-65","66+"))))</f>
        <v>51-65</v>
      </c>
    </row>
    <row r="96" spans="1:16" x14ac:dyDescent="0.3">
      <c r="A96" s="5" t="s">
        <v>279</v>
      </c>
      <c r="B96" s="5" t="s">
        <v>330</v>
      </c>
      <c r="C96" s="6">
        <v>76</v>
      </c>
      <c r="D96" s="5" t="s">
        <v>51</v>
      </c>
      <c r="E96" s="5" t="s">
        <v>68</v>
      </c>
      <c r="F96" s="5" t="s">
        <v>44</v>
      </c>
      <c r="G96" s="5" t="s">
        <v>153</v>
      </c>
      <c r="H96" s="7">
        <v>45700</v>
      </c>
      <c r="I96" s="7">
        <v>45705</v>
      </c>
      <c r="J96" s="5" t="s">
        <v>244</v>
      </c>
      <c r="K96" s="5" t="s">
        <v>280</v>
      </c>
      <c r="L96" s="8">
        <v>307755.56</v>
      </c>
      <c r="M96" s="5" t="s">
        <v>99</v>
      </c>
      <c r="N96" s="5" t="s">
        <v>33</v>
      </c>
      <c r="O96" s="5" t="s">
        <v>25</v>
      </c>
      <c r="P96" s="5" t="str">
        <f>IF(hospital_patient_unclean_500__2[[#This Row],[Age]]&lt;18,"0-17",IF(hospital_patient_unclean_500__2[[#This Row],[Age]]&lt;36,"18-35",IF(hospital_patient_unclean_500__2[[#This Row],[Age]]&lt;51,"36-50",IF(hospital_patient_unclean_500__2[[#This Row],[Age]]&lt;66,"51-65","66+"))))</f>
        <v>66+</v>
      </c>
    </row>
    <row r="97" spans="1:16" x14ac:dyDescent="0.3">
      <c r="A97" s="5" t="s">
        <v>281</v>
      </c>
      <c r="B97" s="5" t="s">
        <v>83</v>
      </c>
      <c r="C97" s="6">
        <v>58</v>
      </c>
      <c r="D97" s="5" t="s">
        <v>17</v>
      </c>
      <c r="E97" s="5" t="s">
        <v>18</v>
      </c>
      <c r="F97" s="5" t="s">
        <v>132</v>
      </c>
      <c r="G97" s="5" t="s">
        <v>138</v>
      </c>
      <c r="H97" s="7">
        <v>45948</v>
      </c>
      <c r="I97" s="7">
        <v>45964</v>
      </c>
      <c r="J97" s="5" t="s">
        <v>173</v>
      </c>
      <c r="K97" s="5" t="s">
        <v>174</v>
      </c>
      <c r="L97" s="8">
        <v>347786.26</v>
      </c>
      <c r="M97" s="5" t="s">
        <v>99</v>
      </c>
      <c r="N97" s="5" t="s">
        <v>48</v>
      </c>
      <c r="O97" s="5" t="s">
        <v>25</v>
      </c>
      <c r="P97" s="5" t="str">
        <f>IF(hospital_patient_unclean_500__2[[#This Row],[Age]]&lt;18,"0-17",IF(hospital_patient_unclean_500__2[[#This Row],[Age]]&lt;36,"18-35",IF(hospital_patient_unclean_500__2[[#This Row],[Age]]&lt;51,"36-50",IF(hospital_patient_unclean_500__2[[#This Row],[Age]]&lt;66,"51-65","66+"))))</f>
        <v>51-65</v>
      </c>
    </row>
    <row r="98" spans="1:16" x14ac:dyDescent="0.3">
      <c r="A98" s="5" t="s">
        <v>282</v>
      </c>
      <c r="B98" s="5" t="s">
        <v>127</v>
      </c>
      <c r="C98" s="6">
        <v>1</v>
      </c>
      <c r="D98" s="5" t="s">
        <v>51</v>
      </c>
      <c r="E98" s="5" t="s">
        <v>84</v>
      </c>
      <c r="F98" s="5" t="s">
        <v>19</v>
      </c>
      <c r="G98" s="5" t="s">
        <v>20</v>
      </c>
      <c r="H98" s="7">
        <v>45862</v>
      </c>
      <c r="I98" s="7">
        <v>45972</v>
      </c>
      <c r="J98" s="5" t="s">
        <v>180</v>
      </c>
      <c r="K98" s="5" t="s">
        <v>181</v>
      </c>
      <c r="L98" s="8">
        <v>24001.08</v>
      </c>
      <c r="M98" s="5" t="s">
        <v>23</v>
      </c>
      <c r="N98" s="5" t="s">
        <v>24</v>
      </c>
      <c r="O98" s="5" t="s">
        <v>41</v>
      </c>
      <c r="P98" s="5" t="str">
        <f>IF(hospital_patient_unclean_500__2[[#This Row],[Age]]&lt;18,"0-17",IF(hospital_patient_unclean_500__2[[#This Row],[Age]]&lt;36,"18-35",IF(hospital_patient_unclean_500__2[[#This Row],[Age]]&lt;51,"36-50",IF(hospital_patient_unclean_500__2[[#This Row],[Age]]&lt;66,"51-65","66+"))))</f>
        <v>0-17</v>
      </c>
    </row>
    <row r="99" spans="1:16" x14ac:dyDescent="0.3">
      <c r="A99" s="5" t="s">
        <v>283</v>
      </c>
      <c r="B99" s="5" t="s">
        <v>284</v>
      </c>
      <c r="C99" s="6">
        <v>87</v>
      </c>
      <c r="D99" s="5" t="s">
        <v>51</v>
      </c>
      <c r="E99" s="5" t="s">
        <v>68</v>
      </c>
      <c r="F99" s="5" t="s">
        <v>38</v>
      </c>
      <c r="G99" s="5" t="s">
        <v>125</v>
      </c>
      <c r="H99" s="7">
        <v>45979</v>
      </c>
      <c r="I99" s="7">
        <v>45980</v>
      </c>
      <c r="J99" s="5" t="s">
        <v>819</v>
      </c>
      <c r="K99" s="5" t="s">
        <v>39</v>
      </c>
      <c r="L99" s="8">
        <v>246727.33</v>
      </c>
      <c r="M99" s="5" t="s">
        <v>32</v>
      </c>
      <c r="N99" s="5" t="s">
        <v>819</v>
      </c>
      <c r="O99" s="5" t="s">
        <v>34</v>
      </c>
      <c r="P99" s="5" t="str">
        <f>IF(hospital_patient_unclean_500__2[[#This Row],[Age]]&lt;18,"0-17",IF(hospital_patient_unclean_500__2[[#This Row],[Age]]&lt;36,"18-35",IF(hospital_patient_unclean_500__2[[#This Row],[Age]]&lt;51,"36-50",IF(hospital_patient_unclean_500__2[[#This Row],[Age]]&lt;66,"51-65","66+"))))</f>
        <v>66+</v>
      </c>
    </row>
    <row r="100" spans="1:16" x14ac:dyDescent="0.3">
      <c r="A100" s="5" t="s">
        <v>285</v>
      </c>
      <c r="B100" s="5" t="s">
        <v>286</v>
      </c>
      <c r="C100" s="6">
        <v>85</v>
      </c>
      <c r="D100" s="5" t="s">
        <v>51</v>
      </c>
      <c r="E100" s="5" t="s">
        <v>18</v>
      </c>
      <c r="F100" s="5" t="s">
        <v>19</v>
      </c>
      <c r="G100" s="5" t="s">
        <v>158</v>
      </c>
      <c r="H100" s="7">
        <v>45825</v>
      </c>
      <c r="I100" s="7">
        <v>45981</v>
      </c>
      <c r="J100" s="5" t="s">
        <v>819</v>
      </c>
      <c r="K100" s="5" t="s">
        <v>22</v>
      </c>
      <c r="L100" s="8">
        <v>281096.51</v>
      </c>
      <c r="M100" s="5" t="s">
        <v>23</v>
      </c>
      <c r="N100" s="5" t="s">
        <v>65</v>
      </c>
      <c r="O100" s="5" t="s">
        <v>34</v>
      </c>
      <c r="P100" s="5" t="str">
        <f>IF(hospital_patient_unclean_500__2[[#This Row],[Age]]&lt;18,"0-17",IF(hospital_patient_unclean_500__2[[#This Row],[Age]]&lt;36,"18-35",IF(hospital_patient_unclean_500__2[[#This Row],[Age]]&lt;51,"36-50",IF(hospital_patient_unclean_500__2[[#This Row],[Age]]&lt;66,"51-65","66+"))))</f>
        <v>66+</v>
      </c>
    </row>
    <row r="101" spans="1:16" x14ac:dyDescent="0.3">
      <c r="A101" s="5" t="s">
        <v>287</v>
      </c>
      <c r="B101" s="5" t="s">
        <v>288</v>
      </c>
      <c r="C101" s="6">
        <v>44</v>
      </c>
      <c r="D101" s="5" t="s">
        <v>51</v>
      </c>
      <c r="E101" s="5" t="s">
        <v>86</v>
      </c>
      <c r="F101" s="5" t="s">
        <v>44</v>
      </c>
      <c r="G101" s="5" t="s">
        <v>221</v>
      </c>
      <c r="H101" s="7">
        <v>45968</v>
      </c>
      <c r="I101" s="7">
        <v>45982</v>
      </c>
      <c r="J101" s="5" t="s">
        <v>232</v>
      </c>
      <c r="K101" s="5" t="s">
        <v>160</v>
      </c>
      <c r="L101" s="8">
        <v>307214.53000000003</v>
      </c>
      <c r="M101" s="5" t="s">
        <v>60</v>
      </c>
      <c r="N101" s="5" t="s">
        <v>819</v>
      </c>
      <c r="O101" s="5" t="s">
        <v>25</v>
      </c>
      <c r="P101" s="5" t="str">
        <f>IF(hospital_patient_unclean_500__2[[#This Row],[Age]]&lt;18,"0-17",IF(hospital_patient_unclean_500__2[[#This Row],[Age]]&lt;36,"18-35",IF(hospital_patient_unclean_500__2[[#This Row],[Age]]&lt;51,"36-50",IF(hospital_patient_unclean_500__2[[#This Row],[Age]]&lt;66,"51-65","66+"))))</f>
        <v>36-50</v>
      </c>
    </row>
    <row r="102" spans="1:16" x14ac:dyDescent="0.3">
      <c r="A102" s="5" t="s">
        <v>289</v>
      </c>
      <c r="B102" s="5" t="s">
        <v>179</v>
      </c>
      <c r="C102" s="6">
        <v>44</v>
      </c>
      <c r="D102" s="5" t="s">
        <v>51</v>
      </c>
      <c r="E102" s="5" t="s">
        <v>64</v>
      </c>
      <c r="F102" s="5" t="s">
        <v>19</v>
      </c>
      <c r="G102" s="5" t="s">
        <v>20</v>
      </c>
      <c r="H102" s="7">
        <v>45800</v>
      </c>
      <c r="I102" s="7">
        <v>45808</v>
      </c>
      <c r="J102" s="5" t="s">
        <v>120</v>
      </c>
      <c r="K102" s="5" t="s">
        <v>121</v>
      </c>
      <c r="L102" s="8">
        <v>339192.39</v>
      </c>
      <c r="M102" s="5" t="s">
        <v>99</v>
      </c>
      <c r="N102" s="5" t="s">
        <v>65</v>
      </c>
      <c r="O102" s="5" t="s">
        <v>34</v>
      </c>
      <c r="P102" s="5" t="str">
        <f>IF(hospital_patient_unclean_500__2[[#This Row],[Age]]&lt;18,"0-17",IF(hospital_patient_unclean_500__2[[#This Row],[Age]]&lt;36,"18-35",IF(hospital_patient_unclean_500__2[[#This Row],[Age]]&lt;51,"36-50",IF(hospital_patient_unclean_500__2[[#This Row],[Age]]&lt;66,"51-65","66+"))))</f>
        <v>36-50</v>
      </c>
    </row>
    <row r="103" spans="1:16" x14ac:dyDescent="0.3">
      <c r="A103" s="5" t="s">
        <v>290</v>
      </c>
      <c r="B103" s="5" t="s">
        <v>142</v>
      </c>
      <c r="C103" s="6">
        <v>27</v>
      </c>
      <c r="D103" s="5" t="s">
        <v>51</v>
      </c>
      <c r="E103" s="5" t="s">
        <v>52</v>
      </c>
      <c r="F103" s="5" t="s">
        <v>44</v>
      </c>
      <c r="G103" s="5" t="s">
        <v>45</v>
      </c>
      <c r="H103" s="7">
        <v>46005</v>
      </c>
      <c r="I103" s="7">
        <v>46013</v>
      </c>
      <c r="J103" s="5" t="s">
        <v>830</v>
      </c>
      <c r="K103" s="5" t="s">
        <v>46</v>
      </c>
      <c r="L103" s="8">
        <v>325667.90999999997</v>
      </c>
      <c r="M103" s="5" t="s">
        <v>32</v>
      </c>
      <c r="N103" s="5" t="s">
        <v>65</v>
      </c>
      <c r="O103" s="5" t="s">
        <v>25</v>
      </c>
      <c r="P103" s="5" t="str">
        <f>IF(hospital_patient_unclean_500__2[[#This Row],[Age]]&lt;18,"0-17",IF(hospital_patient_unclean_500__2[[#This Row],[Age]]&lt;36,"18-35",IF(hospital_patient_unclean_500__2[[#This Row],[Age]]&lt;51,"36-50",IF(hospital_patient_unclean_500__2[[#This Row],[Age]]&lt;66,"51-65","66+"))))</f>
        <v>18-35</v>
      </c>
    </row>
    <row r="104" spans="1:16" x14ac:dyDescent="0.3">
      <c r="A104" s="5" t="s">
        <v>841</v>
      </c>
      <c r="B104" s="5" t="s">
        <v>291</v>
      </c>
      <c r="C104" s="6">
        <v>36</v>
      </c>
      <c r="D104" s="5" t="s">
        <v>51</v>
      </c>
      <c r="E104" s="5" t="s">
        <v>124</v>
      </c>
      <c r="F104" s="5" t="s">
        <v>87</v>
      </c>
      <c r="G104" s="5" t="s">
        <v>112</v>
      </c>
      <c r="H104" s="7">
        <v>45853</v>
      </c>
      <c r="I104" s="7">
        <v>45865</v>
      </c>
      <c r="J104" s="5" t="s">
        <v>192</v>
      </c>
      <c r="K104" s="5" t="s">
        <v>819</v>
      </c>
      <c r="L104" s="8">
        <v>197706.83</v>
      </c>
      <c r="M104" s="5" t="s">
        <v>47</v>
      </c>
      <c r="N104" s="5" t="s">
        <v>61</v>
      </c>
      <c r="O104" s="5" t="s">
        <v>93</v>
      </c>
      <c r="P104" s="5" t="str">
        <f>IF(hospital_patient_unclean_500__2[[#This Row],[Age]]&lt;18,"0-17",IF(hospital_patient_unclean_500__2[[#This Row],[Age]]&lt;36,"18-35",IF(hospital_patient_unclean_500__2[[#This Row],[Age]]&lt;51,"36-50",IF(hospital_patient_unclean_500__2[[#This Row],[Age]]&lt;66,"51-65","66+"))))</f>
        <v>36-50</v>
      </c>
    </row>
    <row r="105" spans="1:16" x14ac:dyDescent="0.3">
      <c r="A105" s="5" t="s">
        <v>292</v>
      </c>
      <c r="B105" s="5" t="s">
        <v>293</v>
      </c>
      <c r="C105" s="6">
        <v>23</v>
      </c>
      <c r="D105" s="5" t="s">
        <v>51</v>
      </c>
      <c r="E105" s="5" t="s">
        <v>37</v>
      </c>
      <c r="F105" s="5" t="s">
        <v>87</v>
      </c>
      <c r="G105" s="5" t="s">
        <v>112</v>
      </c>
      <c r="H105" s="7">
        <v>46016</v>
      </c>
      <c r="I105" s="7">
        <v>46021</v>
      </c>
      <c r="J105" s="5" t="s">
        <v>89</v>
      </c>
      <c r="K105" s="5" t="s">
        <v>92</v>
      </c>
      <c r="L105" s="8">
        <v>143834.62</v>
      </c>
      <c r="M105" s="5" t="s">
        <v>40</v>
      </c>
      <c r="N105" s="5" t="s">
        <v>48</v>
      </c>
      <c r="O105" s="5" t="s">
        <v>34</v>
      </c>
      <c r="P105" s="5" t="str">
        <f>IF(hospital_patient_unclean_500__2[[#This Row],[Age]]&lt;18,"0-17",IF(hospital_patient_unclean_500__2[[#This Row],[Age]]&lt;36,"18-35",IF(hospital_patient_unclean_500__2[[#This Row],[Age]]&lt;51,"36-50",IF(hospital_patient_unclean_500__2[[#This Row],[Age]]&lt;66,"51-65","66+"))))</f>
        <v>18-35</v>
      </c>
    </row>
    <row r="106" spans="1:16" x14ac:dyDescent="0.3">
      <c r="A106" s="5" t="s">
        <v>294</v>
      </c>
      <c r="B106" s="5" t="s">
        <v>231</v>
      </c>
      <c r="C106" s="6">
        <v>38</v>
      </c>
      <c r="D106" s="5" t="s">
        <v>96</v>
      </c>
      <c r="E106" s="5" t="s">
        <v>43</v>
      </c>
      <c r="F106" s="5" t="s">
        <v>19</v>
      </c>
      <c r="G106" s="5" t="s">
        <v>105</v>
      </c>
      <c r="H106" s="7">
        <v>45916</v>
      </c>
      <c r="I106" s="7">
        <v>45929</v>
      </c>
      <c r="J106" s="5" t="s">
        <v>267</v>
      </c>
      <c r="K106" s="5" t="s">
        <v>268</v>
      </c>
      <c r="L106" s="8">
        <v>84421.63</v>
      </c>
      <c r="M106" s="5" t="s">
        <v>72</v>
      </c>
      <c r="N106" s="5" t="s">
        <v>24</v>
      </c>
      <c r="O106" s="5" t="s">
        <v>93</v>
      </c>
      <c r="P106" s="5" t="str">
        <f>IF(hospital_patient_unclean_500__2[[#This Row],[Age]]&lt;18,"0-17",IF(hospital_patient_unclean_500__2[[#This Row],[Age]]&lt;36,"18-35",IF(hospital_patient_unclean_500__2[[#This Row],[Age]]&lt;51,"36-50",IF(hospital_patient_unclean_500__2[[#This Row],[Age]]&lt;66,"51-65","66+"))))</f>
        <v>36-50</v>
      </c>
    </row>
    <row r="107" spans="1:16" x14ac:dyDescent="0.3">
      <c r="A107" s="5" t="s">
        <v>295</v>
      </c>
      <c r="B107" s="5" t="s">
        <v>296</v>
      </c>
      <c r="C107" s="6">
        <v>44</v>
      </c>
      <c r="D107" s="5" t="s">
        <v>51</v>
      </c>
      <c r="E107" s="5" t="s">
        <v>111</v>
      </c>
      <c r="F107" s="5" t="s">
        <v>44</v>
      </c>
      <c r="G107" s="5" t="s">
        <v>45</v>
      </c>
      <c r="H107" s="7">
        <v>45801</v>
      </c>
      <c r="I107" s="7">
        <v>45884</v>
      </c>
      <c r="J107" s="5" t="s">
        <v>244</v>
      </c>
      <c r="K107" s="5" t="s">
        <v>280</v>
      </c>
      <c r="L107" s="8">
        <v>167966.45</v>
      </c>
      <c r="M107" s="5" t="s">
        <v>47</v>
      </c>
      <c r="N107" s="5" t="s">
        <v>33</v>
      </c>
      <c r="O107" s="5" t="s">
        <v>41</v>
      </c>
      <c r="P107" s="5" t="str">
        <f>IF(hospital_patient_unclean_500__2[[#This Row],[Age]]&lt;18,"0-17",IF(hospital_patient_unclean_500__2[[#This Row],[Age]]&lt;36,"18-35",IF(hospital_patient_unclean_500__2[[#This Row],[Age]]&lt;51,"36-50",IF(hospital_patient_unclean_500__2[[#This Row],[Age]]&lt;66,"51-65","66+"))))</f>
        <v>36-50</v>
      </c>
    </row>
    <row r="108" spans="1:16" x14ac:dyDescent="0.3">
      <c r="A108" s="5" t="s">
        <v>297</v>
      </c>
      <c r="B108" s="5" t="s">
        <v>298</v>
      </c>
      <c r="C108" s="6">
        <v>30</v>
      </c>
      <c r="D108" s="5" t="s">
        <v>17</v>
      </c>
      <c r="E108" s="5" t="s">
        <v>111</v>
      </c>
      <c r="F108" s="5" t="s">
        <v>53</v>
      </c>
      <c r="G108" s="5" t="s">
        <v>69</v>
      </c>
      <c r="H108" s="7">
        <v>45837</v>
      </c>
      <c r="I108" s="7">
        <v>45839</v>
      </c>
      <c r="J108" s="5" t="s">
        <v>55</v>
      </c>
      <c r="K108" s="5" t="s">
        <v>56</v>
      </c>
      <c r="L108" s="8">
        <v>302578.84000000003</v>
      </c>
      <c r="M108" s="5" t="s">
        <v>32</v>
      </c>
      <c r="N108" s="5" t="s">
        <v>819</v>
      </c>
      <c r="O108" s="5" t="s">
        <v>34</v>
      </c>
      <c r="P108" s="5" t="str">
        <f>IF(hospital_patient_unclean_500__2[[#This Row],[Age]]&lt;18,"0-17",IF(hospital_patient_unclean_500__2[[#This Row],[Age]]&lt;36,"18-35",IF(hospital_patient_unclean_500__2[[#This Row],[Age]]&lt;51,"36-50",IF(hospital_patient_unclean_500__2[[#This Row],[Age]]&lt;66,"51-65","66+"))))</f>
        <v>18-35</v>
      </c>
    </row>
    <row r="109" spans="1:16" x14ac:dyDescent="0.3">
      <c r="A109" s="5" t="s">
        <v>299</v>
      </c>
      <c r="B109" s="5" t="s">
        <v>240</v>
      </c>
      <c r="C109" s="6">
        <v>49</v>
      </c>
      <c r="D109" s="5" t="s">
        <v>51</v>
      </c>
      <c r="E109" s="5" t="s">
        <v>111</v>
      </c>
      <c r="F109" s="5" t="s">
        <v>44</v>
      </c>
      <c r="G109" s="5" t="s">
        <v>819</v>
      </c>
      <c r="H109" s="7">
        <v>45874</v>
      </c>
      <c r="I109" s="7">
        <v>45887</v>
      </c>
      <c r="J109" s="5" t="s">
        <v>232</v>
      </c>
      <c r="K109" s="5" t="s">
        <v>160</v>
      </c>
      <c r="L109" s="8">
        <v>245228.63</v>
      </c>
      <c r="M109" s="5" t="s">
        <v>32</v>
      </c>
      <c r="N109" s="5" t="s">
        <v>33</v>
      </c>
      <c r="O109" s="5" t="s">
        <v>93</v>
      </c>
      <c r="P109" s="5" t="str">
        <f>IF(hospital_patient_unclean_500__2[[#This Row],[Age]]&lt;18,"0-17",IF(hospital_patient_unclean_500__2[[#This Row],[Age]]&lt;36,"18-35",IF(hospital_patient_unclean_500__2[[#This Row],[Age]]&lt;51,"36-50",IF(hospital_patient_unclean_500__2[[#This Row],[Age]]&lt;66,"51-65","66+"))))</f>
        <v>36-50</v>
      </c>
    </row>
    <row r="110" spans="1:16" x14ac:dyDescent="0.3">
      <c r="A110" s="5" t="s">
        <v>300</v>
      </c>
      <c r="B110" s="5" t="s">
        <v>301</v>
      </c>
      <c r="C110" s="6">
        <v>33</v>
      </c>
      <c r="D110" s="5" t="s">
        <v>51</v>
      </c>
      <c r="E110" s="5" t="s">
        <v>37</v>
      </c>
      <c r="F110" s="5" t="s">
        <v>38</v>
      </c>
      <c r="G110" s="5" t="s">
        <v>125</v>
      </c>
      <c r="H110" s="7">
        <v>45827</v>
      </c>
      <c r="I110" s="7">
        <v>45828</v>
      </c>
      <c r="J110" s="5" t="s">
        <v>97</v>
      </c>
      <c r="K110" s="5" t="s">
        <v>98</v>
      </c>
      <c r="L110" s="8">
        <v>196997.77</v>
      </c>
      <c r="M110" s="5" t="s">
        <v>32</v>
      </c>
      <c r="N110" s="5" t="s">
        <v>65</v>
      </c>
      <c r="O110" s="5" t="s">
        <v>25</v>
      </c>
      <c r="P110" s="5" t="str">
        <f>IF(hospital_patient_unclean_500__2[[#This Row],[Age]]&lt;18,"0-17",IF(hospital_patient_unclean_500__2[[#This Row],[Age]]&lt;36,"18-35",IF(hospital_patient_unclean_500__2[[#This Row],[Age]]&lt;51,"36-50",IF(hospital_patient_unclean_500__2[[#This Row],[Age]]&lt;66,"51-65","66+"))))</f>
        <v>18-35</v>
      </c>
    </row>
    <row r="111" spans="1:16" x14ac:dyDescent="0.3">
      <c r="A111" s="5" t="s">
        <v>302</v>
      </c>
      <c r="B111" s="5" t="s">
        <v>303</v>
      </c>
      <c r="C111" s="6">
        <v>9</v>
      </c>
      <c r="D111" s="5" t="s">
        <v>17</v>
      </c>
      <c r="E111" s="5" t="s">
        <v>37</v>
      </c>
      <c r="F111" s="5" t="s">
        <v>132</v>
      </c>
      <c r="G111" s="5" t="s">
        <v>138</v>
      </c>
      <c r="H111" s="7">
        <v>45672</v>
      </c>
      <c r="I111" s="7">
        <v>45750</v>
      </c>
      <c r="J111" s="5" t="s">
        <v>173</v>
      </c>
      <c r="K111" s="5" t="s">
        <v>174</v>
      </c>
      <c r="L111" s="8">
        <v>208157.84</v>
      </c>
      <c r="M111" s="5" t="s">
        <v>99</v>
      </c>
      <c r="N111" s="5" t="s">
        <v>33</v>
      </c>
      <c r="O111" s="5" t="s">
        <v>93</v>
      </c>
      <c r="P111" s="5" t="str">
        <f>IF(hospital_patient_unclean_500__2[[#This Row],[Age]]&lt;18,"0-17",IF(hospital_patient_unclean_500__2[[#This Row],[Age]]&lt;36,"18-35",IF(hospital_patient_unclean_500__2[[#This Row],[Age]]&lt;51,"36-50",IF(hospital_patient_unclean_500__2[[#This Row],[Age]]&lt;66,"51-65","66+"))))</f>
        <v>0-17</v>
      </c>
    </row>
    <row r="112" spans="1:16" x14ac:dyDescent="0.3">
      <c r="A112" s="5" t="s">
        <v>304</v>
      </c>
      <c r="B112" s="5" t="s">
        <v>305</v>
      </c>
      <c r="C112" s="6">
        <v>51</v>
      </c>
      <c r="D112" s="5" t="s">
        <v>17</v>
      </c>
      <c r="E112" s="5" t="s">
        <v>86</v>
      </c>
      <c r="F112" s="5" t="s">
        <v>53</v>
      </c>
      <c r="G112" s="5" t="s">
        <v>143</v>
      </c>
      <c r="H112" s="7">
        <v>45660</v>
      </c>
      <c r="I112" s="7">
        <v>45671</v>
      </c>
      <c r="J112" s="5" t="s">
        <v>55</v>
      </c>
      <c r="K112" s="5" t="s">
        <v>56</v>
      </c>
      <c r="L112" s="8">
        <v>192719.37</v>
      </c>
      <c r="M112" s="5" t="s">
        <v>32</v>
      </c>
      <c r="N112" s="5" t="s">
        <v>48</v>
      </c>
      <c r="O112" s="5" t="s">
        <v>820</v>
      </c>
      <c r="P112" s="5" t="str">
        <f>IF(hospital_patient_unclean_500__2[[#This Row],[Age]]&lt;18,"0-17",IF(hospital_patient_unclean_500__2[[#This Row],[Age]]&lt;36,"18-35",IF(hospital_patient_unclean_500__2[[#This Row],[Age]]&lt;51,"36-50",IF(hospital_patient_unclean_500__2[[#This Row],[Age]]&lt;66,"51-65","66+"))))</f>
        <v>51-65</v>
      </c>
    </row>
    <row r="113" spans="1:16" x14ac:dyDescent="0.3">
      <c r="A113" s="5" t="s">
        <v>306</v>
      </c>
      <c r="B113" s="5" t="s">
        <v>307</v>
      </c>
      <c r="C113" s="6">
        <v>27</v>
      </c>
      <c r="D113" s="5" t="s">
        <v>17</v>
      </c>
      <c r="E113" s="5" t="s">
        <v>111</v>
      </c>
      <c r="F113" s="5" t="s">
        <v>44</v>
      </c>
      <c r="G113" s="5" t="s">
        <v>221</v>
      </c>
      <c r="H113" s="7">
        <v>45953</v>
      </c>
      <c r="I113" s="7">
        <v>45953</v>
      </c>
      <c r="J113" s="5" t="s">
        <v>244</v>
      </c>
      <c r="K113" s="5" t="s">
        <v>280</v>
      </c>
      <c r="L113" s="8">
        <v>0</v>
      </c>
      <c r="M113" s="5" t="s">
        <v>47</v>
      </c>
      <c r="N113" s="5" t="s">
        <v>819</v>
      </c>
      <c r="O113" s="5" t="s">
        <v>41</v>
      </c>
      <c r="P113" s="5" t="str">
        <f>IF(hospital_patient_unclean_500__2[[#This Row],[Age]]&lt;18,"0-17",IF(hospital_patient_unclean_500__2[[#This Row],[Age]]&lt;36,"18-35",IF(hospital_patient_unclean_500__2[[#This Row],[Age]]&lt;51,"36-50",IF(hospital_patient_unclean_500__2[[#This Row],[Age]]&lt;66,"51-65","66+"))))</f>
        <v>18-35</v>
      </c>
    </row>
    <row r="114" spans="1:16" x14ac:dyDescent="0.3">
      <c r="A114" s="5" t="s">
        <v>308</v>
      </c>
      <c r="B114" s="5" t="s">
        <v>309</v>
      </c>
      <c r="C114" s="6">
        <v>72</v>
      </c>
      <c r="D114" s="5" t="s">
        <v>51</v>
      </c>
      <c r="E114" s="5" t="s">
        <v>37</v>
      </c>
      <c r="F114" s="5" t="s">
        <v>28</v>
      </c>
      <c r="G114" s="5" t="s">
        <v>29</v>
      </c>
      <c r="H114" s="7">
        <v>45800</v>
      </c>
      <c r="I114" s="7">
        <v>45813</v>
      </c>
      <c r="J114" s="5" t="s">
        <v>102</v>
      </c>
      <c r="K114" s="5" t="s">
        <v>103</v>
      </c>
      <c r="L114" s="8">
        <v>20469.05</v>
      </c>
      <c r="M114" s="5" t="s">
        <v>99</v>
      </c>
      <c r="N114" s="5" t="s">
        <v>24</v>
      </c>
      <c r="O114" s="5" t="s">
        <v>34</v>
      </c>
      <c r="P114" s="5" t="str">
        <f>IF(hospital_patient_unclean_500__2[[#This Row],[Age]]&lt;18,"0-17",IF(hospital_patient_unclean_500__2[[#This Row],[Age]]&lt;36,"18-35",IF(hospital_patient_unclean_500__2[[#This Row],[Age]]&lt;51,"36-50",IF(hospital_patient_unclean_500__2[[#This Row],[Age]]&lt;66,"51-65","66+"))))</f>
        <v>66+</v>
      </c>
    </row>
    <row r="115" spans="1:16" x14ac:dyDescent="0.3">
      <c r="A115" s="5" t="s">
        <v>310</v>
      </c>
      <c r="B115" s="5" t="s">
        <v>311</v>
      </c>
      <c r="C115" s="6">
        <v>59</v>
      </c>
      <c r="D115" s="5" t="s">
        <v>51</v>
      </c>
      <c r="E115" s="5" t="s">
        <v>37</v>
      </c>
      <c r="F115" s="5" t="s">
        <v>44</v>
      </c>
      <c r="G115" s="5" t="s">
        <v>221</v>
      </c>
      <c r="H115" s="7">
        <v>45951</v>
      </c>
      <c r="I115" s="7">
        <v>45962</v>
      </c>
      <c r="J115" s="5" t="s">
        <v>232</v>
      </c>
      <c r="K115" s="5" t="s">
        <v>160</v>
      </c>
      <c r="L115" s="8">
        <v>61751.41</v>
      </c>
      <c r="M115" s="5" t="s">
        <v>72</v>
      </c>
      <c r="N115" s="5" t="s">
        <v>48</v>
      </c>
      <c r="O115" s="5" t="s">
        <v>25</v>
      </c>
      <c r="P115" s="5" t="str">
        <f>IF(hospital_patient_unclean_500__2[[#This Row],[Age]]&lt;18,"0-17",IF(hospital_patient_unclean_500__2[[#This Row],[Age]]&lt;36,"18-35",IF(hospital_patient_unclean_500__2[[#This Row],[Age]]&lt;51,"36-50",IF(hospital_patient_unclean_500__2[[#This Row],[Age]]&lt;66,"51-65","66+"))))</f>
        <v>51-65</v>
      </c>
    </row>
    <row r="116" spans="1:16" x14ac:dyDescent="0.3">
      <c r="A116" s="5" t="s">
        <v>312</v>
      </c>
      <c r="B116" s="5" t="s">
        <v>313</v>
      </c>
      <c r="C116" s="6">
        <v>54</v>
      </c>
      <c r="D116" s="5" t="s">
        <v>51</v>
      </c>
      <c r="E116" s="5" t="s">
        <v>111</v>
      </c>
      <c r="F116" s="5" t="s">
        <v>819</v>
      </c>
      <c r="G116" s="5" t="s">
        <v>819</v>
      </c>
      <c r="H116" s="7">
        <v>45775</v>
      </c>
      <c r="I116" s="7">
        <v>45790</v>
      </c>
      <c r="J116" s="5" t="s">
        <v>267</v>
      </c>
      <c r="K116" s="5" t="s">
        <v>268</v>
      </c>
      <c r="L116" s="8">
        <v>192719.37</v>
      </c>
      <c r="M116" s="5" t="s">
        <v>819</v>
      </c>
      <c r="N116" s="5" t="s">
        <v>65</v>
      </c>
      <c r="O116" s="5" t="s">
        <v>820</v>
      </c>
      <c r="P116" s="5" t="str">
        <f>IF(hospital_patient_unclean_500__2[[#This Row],[Age]]&lt;18,"0-17",IF(hospital_patient_unclean_500__2[[#This Row],[Age]]&lt;36,"18-35",IF(hospital_patient_unclean_500__2[[#This Row],[Age]]&lt;51,"36-50",IF(hospital_patient_unclean_500__2[[#This Row],[Age]]&lt;66,"51-65","66+"))))</f>
        <v>51-65</v>
      </c>
    </row>
    <row r="117" spans="1:16" x14ac:dyDescent="0.3">
      <c r="A117" s="5" t="s">
        <v>314</v>
      </c>
      <c r="B117" s="5" t="s">
        <v>315</v>
      </c>
      <c r="C117" s="6">
        <v>68</v>
      </c>
      <c r="D117" s="5" t="s">
        <v>17</v>
      </c>
      <c r="E117" s="5" t="s">
        <v>124</v>
      </c>
      <c r="F117" s="5" t="s">
        <v>19</v>
      </c>
      <c r="G117" s="5" t="s">
        <v>20</v>
      </c>
      <c r="H117" s="7">
        <v>45663</v>
      </c>
      <c r="I117" s="7">
        <v>45674</v>
      </c>
      <c r="J117" s="5" t="s">
        <v>21</v>
      </c>
      <c r="K117" s="5" t="s">
        <v>22</v>
      </c>
      <c r="L117" s="8">
        <v>140940.70000000001</v>
      </c>
      <c r="M117" s="5" t="s">
        <v>40</v>
      </c>
      <c r="N117" s="5" t="s">
        <v>61</v>
      </c>
      <c r="O117" s="5" t="s">
        <v>25</v>
      </c>
      <c r="P117" s="5" t="str">
        <f>IF(hospital_patient_unclean_500__2[[#This Row],[Age]]&lt;18,"0-17",IF(hospital_patient_unclean_500__2[[#This Row],[Age]]&lt;36,"18-35",IF(hospital_patient_unclean_500__2[[#This Row],[Age]]&lt;51,"36-50",IF(hospital_patient_unclean_500__2[[#This Row],[Age]]&lt;66,"51-65","66+"))))</f>
        <v>66+</v>
      </c>
    </row>
    <row r="118" spans="1:16" x14ac:dyDescent="0.3">
      <c r="A118" s="5" t="s">
        <v>316</v>
      </c>
      <c r="B118" s="5" t="s">
        <v>317</v>
      </c>
      <c r="C118" s="6">
        <v>16</v>
      </c>
      <c r="D118" s="5" t="s">
        <v>17</v>
      </c>
      <c r="E118" s="5" t="s">
        <v>124</v>
      </c>
      <c r="F118" s="5" t="s">
        <v>19</v>
      </c>
      <c r="G118" s="5" t="s">
        <v>20</v>
      </c>
      <c r="H118" s="7">
        <v>45751</v>
      </c>
      <c r="I118" s="7">
        <v>45763</v>
      </c>
      <c r="J118" s="5" t="s">
        <v>180</v>
      </c>
      <c r="K118" s="5" t="s">
        <v>181</v>
      </c>
      <c r="L118" s="8">
        <v>13022.92</v>
      </c>
      <c r="M118" s="5" t="s">
        <v>47</v>
      </c>
      <c r="N118" s="5" t="s">
        <v>24</v>
      </c>
      <c r="O118" s="5" t="s">
        <v>820</v>
      </c>
      <c r="P118" s="5" t="str">
        <f>IF(hospital_patient_unclean_500__2[[#This Row],[Age]]&lt;18,"0-17",IF(hospital_patient_unclean_500__2[[#This Row],[Age]]&lt;36,"18-35",IF(hospital_patient_unclean_500__2[[#This Row],[Age]]&lt;51,"36-50",IF(hospital_patient_unclean_500__2[[#This Row],[Age]]&lt;66,"51-65","66+"))))</f>
        <v>0-17</v>
      </c>
    </row>
    <row r="119" spans="1:16" x14ac:dyDescent="0.3">
      <c r="A119" s="5" t="s">
        <v>318</v>
      </c>
      <c r="B119" s="5" t="s">
        <v>319</v>
      </c>
      <c r="C119" s="6">
        <v>44</v>
      </c>
      <c r="D119" s="5" t="s">
        <v>17</v>
      </c>
      <c r="E119" s="5" t="s">
        <v>43</v>
      </c>
      <c r="F119" s="5" t="s">
        <v>132</v>
      </c>
      <c r="G119" s="5" t="s">
        <v>138</v>
      </c>
      <c r="H119" s="7">
        <v>45940</v>
      </c>
      <c r="I119" s="7">
        <v>45946</v>
      </c>
      <c r="J119" s="5" t="s">
        <v>134</v>
      </c>
      <c r="K119" s="5" t="s">
        <v>135</v>
      </c>
      <c r="L119" s="8">
        <v>218150.25</v>
      </c>
      <c r="M119" s="5" t="s">
        <v>72</v>
      </c>
      <c r="N119" s="5" t="s">
        <v>33</v>
      </c>
      <c r="O119" s="5" t="s">
        <v>25</v>
      </c>
      <c r="P119" s="5" t="str">
        <f>IF(hospital_patient_unclean_500__2[[#This Row],[Age]]&lt;18,"0-17",IF(hospital_patient_unclean_500__2[[#This Row],[Age]]&lt;36,"18-35",IF(hospital_patient_unclean_500__2[[#This Row],[Age]]&lt;51,"36-50",IF(hospital_patient_unclean_500__2[[#This Row],[Age]]&lt;66,"51-65","66+"))))</f>
        <v>36-50</v>
      </c>
    </row>
    <row r="120" spans="1:16" x14ac:dyDescent="0.3">
      <c r="A120" s="5" t="s">
        <v>320</v>
      </c>
      <c r="B120" s="5" t="s">
        <v>214</v>
      </c>
      <c r="C120" s="6">
        <v>46</v>
      </c>
      <c r="D120" s="5" t="s">
        <v>51</v>
      </c>
      <c r="E120" s="5" t="s">
        <v>124</v>
      </c>
      <c r="F120" s="5" t="s">
        <v>19</v>
      </c>
      <c r="G120" s="5" t="s">
        <v>105</v>
      </c>
      <c r="H120" s="7">
        <v>45942</v>
      </c>
      <c r="I120" s="7">
        <v>45942</v>
      </c>
      <c r="J120" s="5" t="s">
        <v>180</v>
      </c>
      <c r="K120" s="5" t="s">
        <v>181</v>
      </c>
      <c r="L120" s="8">
        <v>164587.4</v>
      </c>
      <c r="M120" s="5" t="s">
        <v>72</v>
      </c>
      <c r="N120" s="5" t="s">
        <v>24</v>
      </c>
      <c r="O120" s="5" t="s">
        <v>41</v>
      </c>
      <c r="P120" s="5" t="str">
        <f>IF(hospital_patient_unclean_500__2[[#This Row],[Age]]&lt;18,"0-17",IF(hospital_patient_unclean_500__2[[#This Row],[Age]]&lt;36,"18-35",IF(hospital_patient_unclean_500__2[[#This Row],[Age]]&lt;51,"36-50",IF(hospital_patient_unclean_500__2[[#This Row],[Age]]&lt;66,"51-65","66+"))))</f>
        <v>36-50</v>
      </c>
    </row>
    <row r="121" spans="1:16" x14ac:dyDescent="0.3">
      <c r="A121" s="5" t="s">
        <v>321</v>
      </c>
      <c r="B121" s="5" t="s">
        <v>291</v>
      </c>
      <c r="C121" s="6">
        <v>35</v>
      </c>
      <c r="D121" s="5" t="s">
        <v>51</v>
      </c>
      <c r="E121" s="5" t="s">
        <v>111</v>
      </c>
      <c r="F121" s="5" t="s">
        <v>132</v>
      </c>
      <c r="G121" s="5" t="s">
        <v>133</v>
      </c>
      <c r="H121" s="7">
        <v>45828</v>
      </c>
      <c r="I121" s="7">
        <v>45828</v>
      </c>
      <c r="J121" s="5" t="s">
        <v>147</v>
      </c>
      <c r="K121" s="5" t="s">
        <v>148</v>
      </c>
      <c r="L121" s="8">
        <v>110184.01</v>
      </c>
      <c r="M121" s="5" t="s">
        <v>99</v>
      </c>
      <c r="N121" s="5" t="s">
        <v>65</v>
      </c>
      <c r="O121" s="5" t="s">
        <v>819</v>
      </c>
      <c r="P121" s="5" t="str">
        <f>IF(hospital_patient_unclean_500__2[[#This Row],[Age]]&lt;18,"0-17",IF(hospital_patient_unclean_500__2[[#This Row],[Age]]&lt;36,"18-35",IF(hospital_patient_unclean_500__2[[#This Row],[Age]]&lt;51,"36-50",IF(hospital_patient_unclean_500__2[[#This Row],[Age]]&lt;66,"51-65","66+"))))</f>
        <v>18-35</v>
      </c>
    </row>
    <row r="122" spans="1:16" x14ac:dyDescent="0.3">
      <c r="A122" s="5" t="s">
        <v>322</v>
      </c>
      <c r="B122" s="5" t="s">
        <v>819</v>
      </c>
      <c r="C122" s="6">
        <v>18</v>
      </c>
      <c r="D122" s="5" t="s">
        <v>17</v>
      </c>
      <c r="E122" s="5" t="s">
        <v>18</v>
      </c>
      <c r="F122" s="5" t="s">
        <v>19</v>
      </c>
      <c r="G122" s="5" t="s">
        <v>158</v>
      </c>
      <c r="H122" s="7">
        <v>45664</v>
      </c>
      <c r="I122" s="7">
        <v>45680</v>
      </c>
      <c r="J122" s="5" t="s">
        <v>180</v>
      </c>
      <c r="K122" s="5" t="s">
        <v>181</v>
      </c>
      <c r="L122" s="8">
        <v>203771.22</v>
      </c>
      <c r="M122" s="5" t="s">
        <v>47</v>
      </c>
      <c r="N122" s="5" t="s">
        <v>65</v>
      </c>
      <c r="O122" s="5" t="s">
        <v>25</v>
      </c>
      <c r="P122" s="5" t="str">
        <f>IF(hospital_patient_unclean_500__2[[#This Row],[Age]]&lt;18,"0-17",IF(hospital_patient_unclean_500__2[[#This Row],[Age]]&lt;36,"18-35",IF(hospital_patient_unclean_500__2[[#This Row],[Age]]&lt;51,"36-50",IF(hospital_patient_unclean_500__2[[#This Row],[Age]]&lt;66,"51-65","66+"))))</f>
        <v>18-35</v>
      </c>
    </row>
    <row r="123" spans="1:16" x14ac:dyDescent="0.3">
      <c r="A123" s="5" t="s">
        <v>323</v>
      </c>
      <c r="B123" s="5" t="s">
        <v>284</v>
      </c>
      <c r="C123" s="6">
        <v>83</v>
      </c>
      <c r="D123" s="5" t="s">
        <v>51</v>
      </c>
      <c r="E123" s="5" t="s">
        <v>68</v>
      </c>
      <c r="F123" s="5" t="s">
        <v>87</v>
      </c>
      <c r="G123" s="5" t="s">
        <v>324</v>
      </c>
      <c r="H123" s="7">
        <v>45691</v>
      </c>
      <c r="I123" s="7">
        <v>45770</v>
      </c>
      <c r="J123" s="5" t="s">
        <v>171</v>
      </c>
      <c r="K123" s="5" t="s">
        <v>113</v>
      </c>
      <c r="L123" s="8">
        <v>342473.08</v>
      </c>
      <c r="M123" s="5" t="s">
        <v>819</v>
      </c>
      <c r="N123" s="5" t="s">
        <v>61</v>
      </c>
      <c r="O123" s="5" t="s">
        <v>34</v>
      </c>
      <c r="P123" s="5" t="str">
        <f>IF(hospital_patient_unclean_500__2[[#This Row],[Age]]&lt;18,"0-17",IF(hospital_patient_unclean_500__2[[#This Row],[Age]]&lt;36,"18-35",IF(hospital_patient_unclean_500__2[[#This Row],[Age]]&lt;51,"36-50",IF(hospital_patient_unclean_500__2[[#This Row],[Age]]&lt;66,"51-65","66+"))))</f>
        <v>66+</v>
      </c>
    </row>
    <row r="124" spans="1:16" x14ac:dyDescent="0.3">
      <c r="A124" s="5" t="s">
        <v>325</v>
      </c>
      <c r="B124" s="5" t="s">
        <v>326</v>
      </c>
      <c r="C124" s="6">
        <v>44</v>
      </c>
      <c r="D124" s="5" t="s">
        <v>17</v>
      </c>
      <c r="E124" s="5" t="s">
        <v>84</v>
      </c>
      <c r="F124" s="5" t="s">
        <v>28</v>
      </c>
      <c r="G124" s="5" t="s">
        <v>101</v>
      </c>
      <c r="H124" s="7">
        <v>45857</v>
      </c>
      <c r="I124" s="7">
        <v>45859</v>
      </c>
      <c r="J124" s="5" t="s">
        <v>819</v>
      </c>
      <c r="K124" s="5" t="s">
        <v>76</v>
      </c>
      <c r="L124" s="8">
        <v>10528.94</v>
      </c>
      <c r="M124" s="5" t="s">
        <v>99</v>
      </c>
      <c r="N124" s="5" t="s">
        <v>819</v>
      </c>
      <c r="O124" s="5" t="s">
        <v>34</v>
      </c>
      <c r="P124" s="5" t="str">
        <f>IF(hospital_patient_unclean_500__2[[#This Row],[Age]]&lt;18,"0-17",IF(hospital_patient_unclean_500__2[[#This Row],[Age]]&lt;36,"18-35",IF(hospital_patient_unclean_500__2[[#This Row],[Age]]&lt;51,"36-50",IF(hospital_patient_unclean_500__2[[#This Row],[Age]]&lt;66,"51-65","66+"))))</f>
        <v>36-50</v>
      </c>
    </row>
    <row r="125" spans="1:16" x14ac:dyDescent="0.3">
      <c r="A125" s="5" t="s">
        <v>327</v>
      </c>
      <c r="B125" s="5" t="s">
        <v>328</v>
      </c>
      <c r="C125" s="6">
        <v>19</v>
      </c>
      <c r="D125" s="5" t="s">
        <v>51</v>
      </c>
      <c r="E125" s="5" t="s">
        <v>84</v>
      </c>
      <c r="F125" s="5" t="s">
        <v>28</v>
      </c>
      <c r="G125" s="5" t="s">
        <v>195</v>
      </c>
      <c r="H125" s="7">
        <v>45807</v>
      </c>
      <c r="I125" s="7">
        <v>45816</v>
      </c>
      <c r="J125" s="5" t="s">
        <v>102</v>
      </c>
      <c r="K125" s="5" t="s">
        <v>103</v>
      </c>
      <c r="L125" s="8">
        <v>120795.08</v>
      </c>
      <c r="M125" s="5" t="s">
        <v>47</v>
      </c>
      <c r="N125" s="5" t="s">
        <v>819</v>
      </c>
      <c r="O125" s="5" t="s">
        <v>34</v>
      </c>
      <c r="P125" s="5" t="str">
        <f>IF(hospital_patient_unclean_500__2[[#This Row],[Age]]&lt;18,"0-17",IF(hospital_patient_unclean_500__2[[#This Row],[Age]]&lt;36,"18-35",IF(hospital_patient_unclean_500__2[[#This Row],[Age]]&lt;51,"36-50",IF(hospital_patient_unclean_500__2[[#This Row],[Age]]&lt;66,"51-65","66+"))))</f>
        <v>18-35</v>
      </c>
    </row>
    <row r="126" spans="1:16" x14ac:dyDescent="0.3">
      <c r="A126" s="5" t="s">
        <v>329</v>
      </c>
      <c r="B126" s="5" t="s">
        <v>330</v>
      </c>
      <c r="C126" s="6">
        <v>51</v>
      </c>
      <c r="D126" s="5" t="s">
        <v>51</v>
      </c>
      <c r="E126" s="5" t="s">
        <v>43</v>
      </c>
      <c r="F126" s="5" t="s">
        <v>87</v>
      </c>
      <c r="G126" s="5" t="s">
        <v>112</v>
      </c>
      <c r="H126" s="7">
        <v>45720</v>
      </c>
      <c r="I126" s="7">
        <v>45731</v>
      </c>
      <c r="J126" s="5" t="s">
        <v>89</v>
      </c>
      <c r="K126" s="5" t="s">
        <v>92</v>
      </c>
      <c r="L126" s="8">
        <v>267080.71000000002</v>
      </c>
      <c r="M126" s="5" t="s">
        <v>23</v>
      </c>
      <c r="N126" s="5" t="s">
        <v>33</v>
      </c>
      <c r="O126" s="5" t="s">
        <v>820</v>
      </c>
      <c r="P126" s="5" t="str">
        <f>IF(hospital_patient_unclean_500__2[[#This Row],[Age]]&lt;18,"0-17",IF(hospital_patient_unclean_500__2[[#This Row],[Age]]&lt;36,"18-35",IF(hospital_patient_unclean_500__2[[#This Row],[Age]]&lt;51,"36-50",IF(hospital_patient_unclean_500__2[[#This Row],[Age]]&lt;66,"51-65","66+"))))</f>
        <v>51-65</v>
      </c>
    </row>
    <row r="127" spans="1:16" x14ac:dyDescent="0.3">
      <c r="A127" s="5" t="s">
        <v>331</v>
      </c>
      <c r="B127" s="5" t="s">
        <v>309</v>
      </c>
      <c r="C127" s="6">
        <v>44</v>
      </c>
      <c r="D127" s="5" t="s">
        <v>51</v>
      </c>
      <c r="E127" s="5" t="s">
        <v>124</v>
      </c>
      <c r="F127" s="5" t="s">
        <v>819</v>
      </c>
      <c r="G127" s="5" t="s">
        <v>45</v>
      </c>
      <c r="H127" s="7">
        <v>45898</v>
      </c>
      <c r="I127" s="7">
        <v>45905</v>
      </c>
      <c r="J127" s="5" t="s">
        <v>154</v>
      </c>
      <c r="K127" s="5" t="s">
        <v>155</v>
      </c>
      <c r="L127" s="8">
        <v>274996.57</v>
      </c>
      <c r="M127" s="5" t="s">
        <v>40</v>
      </c>
      <c r="N127" s="5" t="s">
        <v>61</v>
      </c>
      <c r="O127" s="5" t="s">
        <v>34</v>
      </c>
      <c r="P127" s="5" t="str">
        <f>IF(hospital_patient_unclean_500__2[[#This Row],[Age]]&lt;18,"0-17",IF(hospital_patient_unclean_500__2[[#This Row],[Age]]&lt;36,"18-35",IF(hospital_patient_unclean_500__2[[#This Row],[Age]]&lt;51,"36-50",IF(hospital_patient_unclean_500__2[[#This Row],[Age]]&lt;66,"51-65","66+"))))</f>
        <v>36-50</v>
      </c>
    </row>
    <row r="128" spans="1:16" x14ac:dyDescent="0.3">
      <c r="A128" s="5" t="s">
        <v>842</v>
      </c>
      <c r="B128" s="5" t="s">
        <v>183</v>
      </c>
      <c r="C128" s="6">
        <v>5</v>
      </c>
      <c r="D128" s="5" t="s">
        <v>17</v>
      </c>
      <c r="E128" s="5" t="s">
        <v>86</v>
      </c>
      <c r="F128" s="5" t="s">
        <v>28</v>
      </c>
      <c r="G128" s="5" t="s">
        <v>101</v>
      </c>
      <c r="H128" s="7">
        <v>45672</v>
      </c>
      <c r="I128" s="7">
        <v>45935</v>
      </c>
      <c r="J128" s="5" t="s">
        <v>189</v>
      </c>
      <c r="K128" s="5" t="s">
        <v>835</v>
      </c>
      <c r="L128" s="8">
        <v>319520.46999999997</v>
      </c>
      <c r="M128" s="5" t="s">
        <v>60</v>
      </c>
      <c r="N128" s="5" t="s">
        <v>33</v>
      </c>
      <c r="O128" s="5" t="s">
        <v>41</v>
      </c>
      <c r="P128" s="5" t="str">
        <f>IF(hospital_patient_unclean_500__2[[#This Row],[Age]]&lt;18,"0-17",IF(hospital_patient_unclean_500__2[[#This Row],[Age]]&lt;36,"18-35",IF(hospital_patient_unclean_500__2[[#This Row],[Age]]&lt;51,"36-50",IF(hospital_patient_unclean_500__2[[#This Row],[Age]]&lt;66,"51-65","66+"))))</f>
        <v>0-17</v>
      </c>
    </row>
    <row r="129" spans="1:16" x14ac:dyDescent="0.3">
      <c r="A129" s="5" t="s">
        <v>332</v>
      </c>
      <c r="B129" s="5" t="s">
        <v>333</v>
      </c>
      <c r="C129" s="6">
        <v>26</v>
      </c>
      <c r="D129" s="5" t="s">
        <v>17</v>
      </c>
      <c r="E129" s="5" t="s">
        <v>37</v>
      </c>
      <c r="F129" s="5" t="s">
        <v>53</v>
      </c>
      <c r="G129" s="5" t="s">
        <v>54</v>
      </c>
      <c r="H129" s="7">
        <v>45946</v>
      </c>
      <c r="I129" s="7">
        <v>45964</v>
      </c>
      <c r="J129" s="5" t="s">
        <v>55</v>
      </c>
      <c r="K129" s="5" t="s">
        <v>56</v>
      </c>
      <c r="L129" s="8">
        <v>171035.99</v>
      </c>
      <c r="M129" s="5" t="s">
        <v>72</v>
      </c>
      <c r="N129" s="5" t="s">
        <v>61</v>
      </c>
      <c r="O129" s="5" t="s">
        <v>820</v>
      </c>
      <c r="P129" s="5" t="str">
        <f>IF(hospital_patient_unclean_500__2[[#This Row],[Age]]&lt;18,"0-17",IF(hospital_patient_unclean_500__2[[#This Row],[Age]]&lt;36,"18-35",IF(hospital_patient_unclean_500__2[[#This Row],[Age]]&lt;51,"36-50",IF(hospital_patient_unclean_500__2[[#This Row],[Age]]&lt;66,"51-65","66+"))))</f>
        <v>18-35</v>
      </c>
    </row>
    <row r="130" spans="1:16" x14ac:dyDescent="0.3">
      <c r="A130" s="5" t="s">
        <v>334</v>
      </c>
      <c r="B130" s="5" t="s">
        <v>197</v>
      </c>
      <c r="C130" s="6">
        <v>56</v>
      </c>
      <c r="D130" s="5" t="s">
        <v>17</v>
      </c>
      <c r="E130" s="5" t="s">
        <v>68</v>
      </c>
      <c r="F130" s="5" t="s">
        <v>132</v>
      </c>
      <c r="G130" s="5" t="s">
        <v>223</v>
      </c>
      <c r="H130" s="7">
        <v>45746</v>
      </c>
      <c r="I130" s="7">
        <v>45763</v>
      </c>
      <c r="J130" s="5" t="s">
        <v>147</v>
      </c>
      <c r="K130" s="5" t="s">
        <v>148</v>
      </c>
      <c r="L130" s="8">
        <v>185136.82</v>
      </c>
      <c r="M130" s="5" t="s">
        <v>60</v>
      </c>
      <c r="N130" s="5" t="s">
        <v>33</v>
      </c>
      <c r="O130" s="5" t="s">
        <v>819</v>
      </c>
      <c r="P130" s="5" t="str">
        <f>IF(hospital_patient_unclean_500__2[[#This Row],[Age]]&lt;18,"0-17",IF(hospital_patient_unclean_500__2[[#This Row],[Age]]&lt;36,"18-35",IF(hospital_patient_unclean_500__2[[#This Row],[Age]]&lt;51,"36-50",IF(hospital_patient_unclean_500__2[[#This Row],[Age]]&lt;66,"51-65","66+"))))</f>
        <v>51-65</v>
      </c>
    </row>
    <row r="131" spans="1:16" x14ac:dyDescent="0.3">
      <c r="A131" s="5" t="s">
        <v>335</v>
      </c>
      <c r="B131" s="5" t="s">
        <v>119</v>
      </c>
      <c r="C131" s="6">
        <v>48</v>
      </c>
      <c r="D131" s="5" t="s">
        <v>17</v>
      </c>
      <c r="E131" s="5" t="s">
        <v>64</v>
      </c>
      <c r="F131" s="5" t="s">
        <v>44</v>
      </c>
      <c r="G131" s="5" t="s">
        <v>153</v>
      </c>
      <c r="H131" s="7">
        <v>45831</v>
      </c>
      <c r="I131" s="7">
        <v>45845</v>
      </c>
      <c r="J131" s="5" t="s">
        <v>830</v>
      </c>
      <c r="K131" s="5" t="s">
        <v>819</v>
      </c>
      <c r="L131" s="8">
        <v>94467.58</v>
      </c>
      <c r="M131" s="5" t="s">
        <v>32</v>
      </c>
      <c r="N131" s="5" t="s">
        <v>33</v>
      </c>
      <c r="O131" s="5" t="s">
        <v>25</v>
      </c>
      <c r="P131" s="5" t="str">
        <f>IF(hospital_patient_unclean_500__2[[#This Row],[Age]]&lt;18,"0-17",IF(hospital_patient_unclean_500__2[[#This Row],[Age]]&lt;36,"18-35",IF(hospital_patient_unclean_500__2[[#This Row],[Age]]&lt;51,"36-50",IF(hospital_patient_unclean_500__2[[#This Row],[Age]]&lt;66,"51-65","66+"))))</f>
        <v>36-50</v>
      </c>
    </row>
    <row r="132" spans="1:16" x14ac:dyDescent="0.3">
      <c r="A132" s="5" t="s">
        <v>336</v>
      </c>
      <c r="B132" s="5" t="s">
        <v>337</v>
      </c>
      <c r="C132" s="6">
        <v>25</v>
      </c>
      <c r="D132" s="5" t="s">
        <v>17</v>
      </c>
      <c r="E132" s="5" t="s">
        <v>37</v>
      </c>
      <c r="F132" s="5" t="s">
        <v>28</v>
      </c>
      <c r="G132" s="5" t="s">
        <v>101</v>
      </c>
      <c r="H132" s="7">
        <v>45814</v>
      </c>
      <c r="I132" s="7">
        <v>45823</v>
      </c>
      <c r="J132" s="5" t="s">
        <v>189</v>
      </c>
      <c r="K132" s="5" t="s">
        <v>835</v>
      </c>
      <c r="L132" s="8">
        <v>20656.7</v>
      </c>
      <c r="M132" s="5" t="s">
        <v>72</v>
      </c>
      <c r="N132" s="5" t="s">
        <v>33</v>
      </c>
      <c r="O132" s="5" t="s">
        <v>34</v>
      </c>
      <c r="P132" s="5" t="str">
        <f>IF(hospital_patient_unclean_500__2[[#This Row],[Age]]&lt;18,"0-17",IF(hospital_patient_unclean_500__2[[#This Row],[Age]]&lt;36,"18-35",IF(hospital_patient_unclean_500__2[[#This Row],[Age]]&lt;51,"36-50",IF(hospital_patient_unclean_500__2[[#This Row],[Age]]&lt;66,"51-65","66+"))))</f>
        <v>18-35</v>
      </c>
    </row>
    <row r="133" spans="1:16" x14ac:dyDescent="0.3">
      <c r="A133" s="5" t="s">
        <v>338</v>
      </c>
      <c r="B133" s="5" t="s">
        <v>822</v>
      </c>
      <c r="C133" s="6">
        <v>53</v>
      </c>
      <c r="D133" s="5" t="s">
        <v>51</v>
      </c>
      <c r="E133" s="5" t="s">
        <v>52</v>
      </c>
      <c r="F133" s="5" t="s">
        <v>132</v>
      </c>
      <c r="G133" s="5" t="s">
        <v>223</v>
      </c>
      <c r="H133" s="7">
        <v>45658</v>
      </c>
      <c r="I133" s="7">
        <v>45662</v>
      </c>
      <c r="J133" s="5" t="s">
        <v>173</v>
      </c>
      <c r="K133" s="5" t="s">
        <v>174</v>
      </c>
      <c r="L133" s="8">
        <v>181016.57</v>
      </c>
      <c r="M133" s="5" t="s">
        <v>23</v>
      </c>
      <c r="N133" s="5" t="s">
        <v>48</v>
      </c>
      <c r="O133" s="5" t="s">
        <v>25</v>
      </c>
      <c r="P133" s="5" t="str">
        <f>IF(hospital_patient_unclean_500__2[[#This Row],[Age]]&lt;18,"0-17",IF(hospital_patient_unclean_500__2[[#This Row],[Age]]&lt;36,"18-35",IF(hospital_patient_unclean_500__2[[#This Row],[Age]]&lt;51,"36-50",IF(hospital_patient_unclean_500__2[[#This Row],[Age]]&lt;66,"51-65","66+"))))</f>
        <v>51-65</v>
      </c>
    </row>
    <row r="134" spans="1:16" x14ac:dyDescent="0.3">
      <c r="A134" s="5" t="s">
        <v>339</v>
      </c>
      <c r="B134" s="5" t="s">
        <v>340</v>
      </c>
      <c r="C134" s="6">
        <v>82</v>
      </c>
      <c r="D134" s="5" t="s">
        <v>17</v>
      </c>
      <c r="E134" s="5" t="s">
        <v>52</v>
      </c>
      <c r="F134" s="5" t="s">
        <v>53</v>
      </c>
      <c r="G134" s="5" t="s">
        <v>54</v>
      </c>
      <c r="H134" s="7">
        <v>45737</v>
      </c>
      <c r="I134" s="7">
        <v>45751</v>
      </c>
      <c r="J134" s="5" t="s">
        <v>200</v>
      </c>
      <c r="K134" s="5" t="s">
        <v>201</v>
      </c>
      <c r="L134" s="8">
        <v>309912.63</v>
      </c>
      <c r="M134" s="5" t="s">
        <v>23</v>
      </c>
      <c r="N134" s="5" t="s">
        <v>24</v>
      </c>
      <c r="O134" s="5" t="s">
        <v>34</v>
      </c>
      <c r="P134" s="5" t="str">
        <f>IF(hospital_patient_unclean_500__2[[#This Row],[Age]]&lt;18,"0-17",IF(hospital_patient_unclean_500__2[[#This Row],[Age]]&lt;36,"18-35",IF(hospital_patient_unclean_500__2[[#This Row],[Age]]&lt;51,"36-50",IF(hospital_patient_unclean_500__2[[#This Row],[Age]]&lt;66,"51-65","66+"))))</f>
        <v>66+</v>
      </c>
    </row>
    <row r="135" spans="1:16" x14ac:dyDescent="0.3">
      <c r="A135" s="5" t="s">
        <v>341</v>
      </c>
      <c r="B135" s="5" t="s">
        <v>342</v>
      </c>
      <c r="C135" s="6">
        <v>27</v>
      </c>
      <c r="D135" s="5" t="s">
        <v>51</v>
      </c>
      <c r="E135" s="5" t="s">
        <v>43</v>
      </c>
      <c r="F135" s="5" t="s">
        <v>19</v>
      </c>
      <c r="G135" s="5" t="s">
        <v>105</v>
      </c>
      <c r="H135" s="7">
        <v>45898</v>
      </c>
      <c r="I135" s="7">
        <v>45898</v>
      </c>
      <c r="J135" s="5" t="s">
        <v>267</v>
      </c>
      <c r="K135" s="5" t="s">
        <v>268</v>
      </c>
      <c r="L135" s="8">
        <v>141900.42000000001</v>
      </c>
      <c r="M135" s="5" t="s">
        <v>32</v>
      </c>
      <c r="N135" s="5" t="s">
        <v>65</v>
      </c>
      <c r="O135" s="5" t="s">
        <v>819</v>
      </c>
      <c r="P135" s="5" t="str">
        <f>IF(hospital_patient_unclean_500__2[[#This Row],[Age]]&lt;18,"0-17",IF(hospital_patient_unclean_500__2[[#This Row],[Age]]&lt;36,"18-35",IF(hospital_patient_unclean_500__2[[#This Row],[Age]]&lt;51,"36-50",IF(hospital_patient_unclean_500__2[[#This Row],[Age]]&lt;66,"51-65","66+"))))</f>
        <v>18-35</v>
      </c>
    </row>
    <row r="136" spans="1:16" x14ac:dyDescent="0.3">
      <c r="A136" s="5" t="s">
        <v>343</v>
      </c>
      <c r="B136" s="5" t="s">
        <v>303</v>
      </c>
      <c r="C136" s="6">
        <v>36</v>
      </c>
      <c r="D136" s="5" t="s">
        <v>17</v>
      </c>
      <c r="E136" s="5" t="s">
        <v>84</v>
      </c>
      <c r="F136" s="5" t="s">
        <v>28</v>
      </c>
      <c r="G136" s="5" t="s">
        <v>101</v>
      </c>
      <c r="H136" s="7">
        <v>45847</v>
      </c>
      <c r="I136" s="7">
        <v>45856</v>
      </c>
      <c r="J136" s="5" t="s">
        <v>30</v>
      </c>
      <c r="K136" s="5" t="s">
        <v>31</v>
      </c>
      <c r="L136" s="8">
        <v>308685.09000000003</v>
      </c>
      <c r="M136" s="5" t="s">
        <v>32</v>
      </c>
      <c r="N136" s="5" t="s">
        <v>33</v>
      </c>
      <c r="O136" s="5" t="s">
        <v>820</v>
      </c>
      <c r="P136" s="5" t="str">
        <f>IF(hospital_patient_unclean_500__2[[#This Row],[Age]]&lt;18,"0-17",IF(hospital_patient_unclean_500__2[[#This Row],[Age]]&lt;36,"18-35",IF(hospital_patient_unclean_500__2[[#This Row],[Age]]&lt;51,"36-50",IF(hospital_patient_unclean_500__2[[#This Row],[Age]]&lt;66,"51-65","66+"))))</f>
        <v>36-50</v>
      </c>
    </row>
    <row r="137" spans="1:16" x14ac:dyDescent="0.3">
      <c r="A137" s="5" t="s">
        <v>344</v>
      </c>
      <c r="B137" s="5" t="s">
        <v>345</v>
      </c>
      <c r="C137" s="6">
        <v>59</v>
      </c>
      <c r="D137" s="5" t="s">
        <v>51</v>
      </c>
      <c r="E137" s="5" t="s">
        <v>43</v>
      </c>
      <c r="F137" s="5" t="s">
        <v>44</v>
      </c>
      <c r="G137" s="5" t="s">
        <v>221</v>
      </c>
      <c r="H137" s="7">
        <v>45997</v>
      </c>
      <c r="I137" s="7">
        <v>45997</v>
      </c>
      <c r="J137" s="5" t="s">
        <v>154</v>
      </c>
      <c r="K137" s="5" t="s">
        <v>155</v>
      </c>
      <c r="L137" s="8">
        <v>68547.92</v>
      </c>
      <c r="M137" s="5" t="s">
        <v>99</v>
      </c>
      <c r="N137" s="5" t="s">
        <v>24</v>
      </c>
      <c r="O137" s="5" t="s">
        <v>34</v>
      </c>
      <c r="P137" s="5" t="str">
        <f>IF(hospital_patient_unclean_500__2[[#This Row],[Age]]&lt;18,"0-17",IF(hospital_patient_unclean_500__2[[#This Row],[Age]]&lt;36,"18-35",IF(hospital_patient_unclean_500__2[[#This Row],[Age]]&lt;51,"36-50",IF(hospital_patient_unclean_500__2[[#This Row],[Age]]&lt;66,"51-65","66+"))))</f>
        <v>51-65</v>
      </c>
    </row>
    <row r="138" spans="1:16" x14ac:dyDescent="0.3">
      <c r="A138" s="5" t="s">
        <v>346</v>
      </c>
      <c r="B138" s="5" t="s">
        <v>307</v>
      </c>
      <c r="C138" s="6">
        <v>52</v>
      </c>
      <c r="D138" s="5" t="s">
        <v>17</v>
      </c>
      <c r="E138" s="5" t="s">
        <v>68</v>
      </c>
      <c r="F138" s="5" t="s">
        <v>53</v>
      </c>
      <c r="G138" s="5" t="s">
        <v>69</v>
      </c>
      <c r="H138" s="7">
        <v>45691</v>
      </c>
      <c r="I138" s="7">
        <v>45700</v>
      </c>
      <c r="J138" s="5" t="s">
        <v>55</v>
      </c>
      <c r="K138" s="5" t="s">
        <v>56</v>
      </c>
      <c r="L138" s="8">
        <v>88870.79</v>
      </c>
      <c r="M138" s="5" t="s">
        <v>72</v>
      </c>
      <c r="N138" s="5" t="s">
        <v>33</v>
      </c>
      <c r="O138" s="5" t="s">
        <v>25</v>
      </c>
      <c r="P138" s="5" t="str">
        <f>IF(hospital_patient_unclean_500__2[[#This Row],[Age]]&lt;18,"0-17",IF(hospital_patient_unclean_500__2[[#This Row],[Age]]&lt;36,"18-35",IF(hospital_patient_unclean_500__2[[#This Row],[Age]]&lt;51,"36-50",IF(hospital_patient_unclean_500__2[[#This Row],[Age]]&lt;66,"51-65","66+"))))</f>
        <v>51-65</v>
      </c>
    </row>
    <row r="139" spans="1:16" x14ac:dyDescent="0.3">
      <c r="A139" s="5" t="s">
        <v>347</v>
      </c>
      <c r="B139" s="5" t="s">
        <v>348</v>
      </c>
      <c r="C139" s="6">
        <v>33</v>
      </c>
      <c r="D139" s="5" t="s">
        <v>17</v>
      </c>
      <c r="E139" s="5" t="s">
        <v>86</v>
      </c>
      <c r="F139" s="5" t="s">
        <v>19</v>
      </c>
      <c r="G139" s="5" t="s">
        <v>105</v>
      </c>
      <c r="H139" s="7">
        <v>45798</v>
      </c>
      <c r="I139" s="7">
        <v>45798</v>
      </c>
      <c r="J139" s="5" t="s">
        <v>180</v>
      </c>
      <c r="K139" s="5" t="s">
        <v>181</v>
      </c>
      <c r="L139" s="8">
        <v>81695.98</v>
      </c>
      <c r="M139" s="5" t="s">
        <v>40</v>
      </c>
      <c r="N139" s="5" t="s">
        <v>33</v>
      </c>
      <c r="O139" s="5" t="s">
        <v>41</v>
      </c>
      <c r="P139" s="5" t="str">
        <f>IF(hospital_patient_unclean_500__2[[#This Row],[Age]]&lt;18,"0-17",IF(hospital_patient_unclean_500__2[[#This Row],[Age]]&lt;36,"18-35",IF(hospital_patient_unclean_500__2[[#This Row],[Age]]&lt;51,"36-50",IF(hospital_patient_unclean_500__2[[#This Row],[Age]]&lt;66,"51-65","66+"))))</f>
        <v>18-35</v>
      </c>
    </row>
    <row r="140" spans="1:16" x14ac:dyDescent="0.3">
      <c r="A140" s="5" t="s">
        <v>349</v>
      </c>
      <c r="B140" s="5" t="s">
        <v>169</v>
      </c>
      <c r="C140" s="6">
        <v>10</v>
      </c>
      <c r="D140" s="5" t="s">
        <v>17</v>
      </c>
      <c r="E140" s="5" t="s">
        <v>43</v>
      </c>
      <c r="F140" s="5" t="s">
        <v>132</v>
      </c>
      <c r="G140" s="5" t="s">
        <v>223</v>
      </c>
      <c r="H140" s="7">
        <v>45699</v>
      </c>
      <c r="I140" s="7">
        <v>45704</v>
      </c>
      <c r="J140" s="5" t="s">
        <v>147</v>
      </c>
      <c r="K140" s="5" t="s">
        <v>148</v>
      </c>
      <c r="L140" s="8">
        <v>88523.45</v>
      </c>
      <c r="M140" s="5" t="s">
        <v>32</v>
      </c>
      <c r="N140" s="5" t="s">
        <v>61</v>
      </c>
      <c r="O140" s="5" t="s">
        <v>34</v>
      </c>
      <c r="P140" s="5" t="str">
        <f>IF(hospital_patient_unclean_500__2[[#This Row],[Age]]&lt;18,"0-17",IF(hospital_patient_unclean_500__2[[#This Row],[Age]]&lt;36,"18-35",IF(hospital_patient_unclean_500__2[[#This Row],[Age]]&lt;51,"36-50",IF(hospital_patient_unclean_500__2[[#This Row],[Age]]&lt;66,"51-65","66+"))))</f>
        <v>0-17</v>
      </c>
    </row>
    <row r="141" spans="1:16" x14ac:dyDescent="0.3">
      <c r="A141" s="5" t="s">
        <v>350</v>
      </c>
      <c r="B141" s="5" t="s">
        <v>351</v>
      </c>
      <c r="C141" s="6">
        <v>44</v>
      </c>
      <c r="D141" s="5" t="s">
        <v>17</v>
      </c>
      <c r="E141" s="5" t="s">
        <v>68</v>
      </c>
      <c r="F141" s="5" t="s">
        <v>28</v>
      </c>
      <c r="G141" s="5" t="s">
        <v>29</v>
      </c>
      <c r="H141" s="7">
        <v>45671</v>
      </c>
      <c r="I141" s="7">
        <v>45679</v>
      </c>
      <c r="J141" s="5" t="s">
        <v>102</v>
      </c>
      <c r="K141" s="5" t="s">
        <v>103</v>
      </c>
      <c r="L141" s="8">
        <v>221590.42</v>
      </c>
      <c r="M141" s="5" t="s">
        <v>32</v>
      </c>
      <c r="N141" s="5" t="s">
        <v>61</v>
      </c>
      <c r="O141" s="5" t="s">
        <v>34</v>
      </c>
      <c r="P141" s="5" t="str">
        <f>IF(hospital_patient_unclean_500__2[[#This Row],[Age]]&lt;18,"0-17",IF(hospital_patient_unclean_500__2[[#This Row],[Age]]&lt;36,"18-35",IF(hospital_patient_unclean_500__2[[#This Row],[Age]]&lt;51,"36-50",IF(hospital_patient_unclean_500__2[[#This Row],[Age]]&lt;66,"51-65","66+"))))</f>
        <v>36-50</v>
      </c>
    </row>
    <row r="142" spans="1:16" x14ac:dyDescent="0.3">
      <c r="A142" s="5" t="s">
        <v>352</v>
      </c>
      <c r="B142" s="5" t="s">
        <v>353</v>
      </c>
      <c r="C142" s="6">
        <v>26</v>
      </c>
      <c r="D142" s="5" t="s">
        <v>17</v>
      </c>
      <c r="E142" s="5" t="s">
        <v>52</v>
      </c>
      <c r="F142" s="5" t="s">
        <v>44</v>
      </c>
      <c r="G142" s="5" t="s">
        <v>45</v>
      </c>
      <c r="H142" s="7">
        <v>45739</v>
      </c>
      <c r="I142" s="7">
        <v>45739</v>
      </c>
      <c r="J142" s="5" t="s">
        <v>244</v>
      </c>
      <c r="K142" s="5" t="s">
        <v>280</v>
      </c>
      <c r="L142" s="8">
        <v>211178.03</v>
      </c>
      <c r="M142" s="5" t="s">
        <v>32</v>
      </c>
      <c r="N142" s="5" t="s">
        <v>65</v>
      </c>
      <c r="O142" s="5" t="s">
        <v>41</v>
      </c>
      <c r="P142" s="5" t="str">
        <f>IF(hospital_patient_unclean_500__2[[#This Row],[Age]]&lt;18,"0-17",IF(hospital_patient_unclean_500__2[[#This Row],[Age]]&lt;36,"18-35",IF(hospital_patient_unclean_500__2[[#This Row],[Age]]&lt;51,"36-50",IF(hospital_patient_unclean_500__2[[#This Row],[Age]]&lt;66,"51-65","66+"))))</f>
        <v>18-35</v>
      </c>
    </row>
    <row r="143" spans="1:16" x14ac:dyDescent="0.3">
      <c r="A143" s="5" t="s">
        <v>354</v>
      </c>
      <c r="B143" s="5" t="s">
        <v>355</v>
      </c>
      <c r="C143" s="6">
        <v>57</v>
      </c>
      <c r="D143" s="5" t="s">
        <v>51</v>
      </c>
      <c r="E143" s="5" t="s">
        <v>84</v>
      </c>
      <c r="F143" s="5" t="s">
        <v>19</v>
      </c>
      <c r="G143" s="5" t="s">
        <v>105</v>
      </c>
      <c r="H143" s="7">
        <v>45740</v>
      </c>
      <c r="I143" s="7">
        <v>45752</v>
      </c>
      <c r="J143" s="5" t="s">
        <v>267</v>
      </c>
      <c r="K143" s="5" t="s">
        <v>268</v>
      </c>
      <c r="L143" s="8">
        <v>271070.28000000003</v>
      </c>
      <c r="M143" s="5" t="s">
        <v>23</v>
      </c>
      <c r="N143" s="5" t="s">
        <v>61</v>
      </c>
      <c r="O143" s="5" t="s">
        <v>820</v>
      </c>
      <c r="P143" s="5" t="str">
        <f>IF(hospital_patient_unclean_500__2[[#This Row],[Age]]&lt;18,"0-17",IF(hospital_patient_unclean_500__2[[#This Row],[Age]]&lt;36,"18-35",IF(hospital_patient_unclean_500__2[[#This Row],[Age]]&lt;51,"36-50",IF(hospital_patient_unclean_500__2[[#This Row],[Age]]&lt;66,"51-65","66+"))))</f>
        <v>51-65</v>
      </c>
    </row>
    <row r="144" spans="1:16" x14ac:dyDescent="0.3">
      <c r="A144" s="5" t="s">
        <v>843</v>
      </c>
      <c r="B144" s="5" t="s">
        <v>356</v>
      </c>
      <c r="C144" s="6">
        <v>10</v>
      </c>
      <c r="D144" s="5" t="s">
        <v>51</v>
      </c>
      <c r="E144" s="5" t="s">
        <v>18</v>
      </c>
      <c r="F144" s="5" t="s">
        <v>132</v>
      </c>
      <c r="G144" s="5" t="s">
        <v>138</v>
      </c>
      <c r="H144" s="7">
        <v>45853</v>
      </c>
      <c r="I144" s="7">
        <v>45912</v>
      </c>
      <c r="J144" s="5" t="s">
        <v>173</v>
      </c>
      <c r="K144" s="5" t="s">
        <v>174</v>
      </c>
      <c r="L144" s="8">
        <v>192719.37</v>
      </c>
      <c r="M144" s="5" t="s">
        <v>32</v>
      </c>
      <c r="N144" s="5" t="s">
        <v>33</v>
      </c>
      <c r="O144" s="5" t="s">
        <v>25</v>
      </c>
      <c r="P144" s="5" t="str">
        <f>IF(hospital_patient_unclean_500__2[[#This Row],[Age]]&lt;18,"0-17",IF(hospital_patient_unclean_500__2[[#This Row],[Age]]&lt;36,"18-35",IF(hospital_patient_unclean_500__2[[#This Row],[Age]]&lt;51,"36-50",IF(hospital_patient_unclean_500__2[[#This Row],[Age]]&lt;66,"51-65","66+"))))</f>
        <v>0-17</v>
      </c>
    </row>
    <row r="145" spans="1:16" x14ac:dyDescent="0.3">
      <c r="A145" s="5" t="s">
        <v>357</v>
      </c>
      <c r="B145" s="5" t="s">
        <v>157</v>
      </c>
      <c r="C145" s="6">
        <v>11</v>
      </c>
      <c r="D145" s="5" t="s">
        <v>51</v>
      </c>
      <c r="E145" s="5" t="s">
        <v>86</v>
      </c>
      <c r="F145" s="5" t="s">
        <v>44</v>
      </c>
      <c r="G145" s="5" t="s">
        <v>221</v>
      </c>
      <c r="H145" s="7">
        <v>45965</v>
      </c>
      <c r="I145" s="7">
        <v>45976</v>
      </c>
      <c r="J145" s="5" t="s">
        <v>154</v>
      </c>
      <c r="K145" s="5" t="s">
        <v>155</v>
      </c>
      <c r="L145" s="8">
        <v>286748.51</v>
      </c>
      <c r="M145" s="5" t="s">
        <v>40</v>
      </c>
      <c r="N145" s="5" t="s">
        <v>61</v>
      </c>
      <c r="O145" s="5" t="s">
        <v>25</v>
      </c>
      <c r="P145" s="5" t="str">
        <f>IF(hospital_patient_unclean_500__2[[#This Row],[Age]]&lt;18,"0-17",IF(hospital_patient_unclean_500__2[[#This Row],[Age]]&lt;36,"18-35",IF(hospital_patient_unclean_500__2[[#This Row],[Age]]&lt;51,"36-50",IF(hospital_patient_unclean_500__2[[#This Row],[Age]]&lt;66,"51-65","66+"))))</f>
        <v>0-17</v>
      </c>
    </row>
    <row r="146" spans="1:16" x14ac:dyDescent="0.3">
      <c r="A146" s="5" t="s">
        <v>358</v>
      </c>
      <c r="B146" s="5" t="s">
        <v>123</v>
      </c>
      <c r="C146" s="6">
        <v>45</v>
      </c>
      <c r="D146" s="5" t="s">
        <v>17</v>
      </c>
      <c r="E146" s="5" t="s">
        <v>68</v>
      </c>
      <c r="F146" s="5" t="s">
        <v>132</v>
      </c>
      <c r="G146" s="5" t="s">
        <v>133</v>
      </c>
      <c r="H146" s="7">
        <v>45742</v>
      </c>
      <c r="I146" s="7">
        <v>45971</v>
      </c>
      <c r="J146" s="5" t="s">
        <v>139</v>
      </c>
      <c r="K146" s="5" t="s">
        <v>140</v>
      </c>
      <c r="L146" s="8">
        <v>138546.84</v>
      </c>
      <c r="M146" s="5" t="s">
        <v>60</v>
      </c>
      <c r="N146" s="5" t="s">
        <v>61</v>
      </c>
      <c r="O146" s="5" t="s">
        <v>41</v>
      </c>
      <c r="P146" s="5" t="str">
        <f>IF(hospital_patient_unclean_500__2[[#This Row],[Age]]&lt;18,"0-17",IF(hospital_patient_unclean_500__2[[#This Row],[Age]]&lt;36,"18-35",IF(hospital_patient_unclean_500__2[[#This Row],[Age]]&lt;51,"36-50",IF(hospital_patient_unclean_500__2[[#This Row],[Age]]&lt;66,"51-65","66+"))))</f>
        <v>36-50</v>
      </c>
    </row>
    <row r="147" spans="1:16" x14ac:dyDescent="0.3">
      <c r="A147" s="5" t="s">
        <v>359</v>
      </c>
      <c r="B147" s="5" t="s">
        <v>360</v>
      </c>
      <c r="C147" s="6">
        <v>44</v>
      </c>
      <c r="D147" s="5" t="s">
        <v>17</v>
      </c>
      <c r="E147" s="5" t="s">
        <v>111</v>
      </c>
      <c r="F147" s="5" t="s">
        <v>87</v>
      </c>
      <c r="G147" s="5" t="s">
        <v>324</v>
      </c>
      <c r="H147" s="7">
        <v>45950</v>
      </c>
      <c r="I147" s="7">
        <v>45966</v>
      </c>
      <c r="J147" s="5" t="s">
        <v>171</v>
      </c>
      <c r="K147" s="5" t="s">
        <v>113</v>
      </c>
      <c r="L147" s="8">
        <v>347176.11</v>
      </c>
      <c r="M147" s="5" t="s">
        <v>23</v>
      </c>
      <c r="N147" s="5" t="s">
        <v>65</v>
      </c>
      <c r="O147" s="5" t="s">
        <v>820</v>
      </c>
      <c r="P147" s="5" t="str">
        <f>IF(hospital_patient_unclean_500__2[[#This Row],[Age]]&lt;18,"0-17",IF(hospital_patient_unclean_500__2[[#This Row],[Age]]&lt;36,"18-35",IF(hospital_patient_unclean_500__2[[#This Row],[Age]]&lt;51,"36-50",IF(hospital_patient_unclean_500__2[[#This Row],[Age]]&lt;66,"51-65","66+"))))</f>
        <v>36-50</v>
      </c>
    </row>
    <row r="148" spans="1:16" x14ac:dyDescent="0.3">
      <c r="A148" s="5" t="s">
        <v>361</v>
      </c>
      <c r="B148" s="5" t="s">
        <v>362</v>
      </c>
      <c r="C148" s="6">
        <v>45</v>
      </c>
      <c r="D148" s="5" t="s">
        <v>17</v>
      </c>
      <c r="E148" s="5" t="s">
        <v>64</v>
      </c>
      <c r="F148" s="5" t="s">
        <v>132</v>
      </c>
      <c r="G148" s="5" t="s">
        <v>223</v>
      </c>
      <c r="H148" s="7">
        <v>45766</v>
      </c>
      <c r="I148" s="7">
        <v>45774</v>
      </c>
      <c r="J148" s="5" t="s">
        <v>173</v>
      </c>
      <c r="K148" s="5" t="s">
        <v>174</v>
      </c>
      <c r="L148" s="8">
        <v>296274.05</v>
      </c>
      <c r="M148" s="5" t="s">
        <v>60</v>
      </c>
      <c r="N148" s="5" t="s">
        <v>24</v>
      </c>
      <c r="O148" s="5" t="s">
        <v>25</v>
      </c>
      <c r="P148" s="5" t="str">
        <f>IF(hospital_patient_unclean_500__2[[#This Row],[Age]]&lt;18,"0-17",IF(hospital_patient_unclean_500__2[[#This Row],[Age]]&lt;36,"18-35",IF(hospital_patient_unclean_500__2[[#This Row],[Age]]&lt;51,"36-50",IF(hospital_patient_unclean_500__2[[#This Row],[Age]]&lt;66,"51-65","66+"))))</f>
        <v>36-50</v>
      </c>
    </row>
    <row r="149" spans="1:16" x14ac:dyDescent="0.3">
      <c r="A149" s="5" t="s">
        <v>363</v>
      </c>
      <c r="B149" s="5" t="s">
        <v>364</v>
      </c>
      <c r="C149" s="6">
        <v>61</v>
      </c>
      <c r="D149" s="5" t="s">
        <v>17</v>
      </c>
      <c r="E149" s="5" t="s">
        <v>124</v>
      </c>
      <c r="F149" s="5" t="s">
        <v>19</v>
      </c>
      <c r="G149" s="5" t="s">
        <v>105</v>
      </c>
      <c r="H149" s="7">
        <v>45900</v>
      </c>
      <c r="I149" s="7">
        <v>45900</v>
      </c>
      <c r="J149" s="5" t="s">
        <v>120</v>
      </c>
      <c r="K149" s="5" t="s">
        <v>121</v>
      </c>
      <c r="L149" s="8">
        <v>263655.98</v>
      </c>
      <c r="M149" s="5" t="s">
        <v>47</v>
      </c>
      <c r="N149" s="5" t="s">
        <v>65</v>
      </c>
      <c r="O149" s="5" t="s">
        <v>41</v>
      </c>
      <c r="P149" s="5" t="str">
        <f>IF(hospital_patient_unclean_500__2[[#This Row],[Age]]&lt;18,"0-17",IF(hospital_patient_unclean_500__2[[#This Row],[Age]]&lt;36,"18-35",IF(hospital_patient_unclean_500__2[[#This Row],[Age]]&lt;51,"36-50",IF(hospital_patient_unclean_500__2[[#This Row],[Age]]&lt;66,"51-65","66+"))))</f>
        <v>51-65</v>
      </c>
    </row>
    <row r="150" spans="1:16" x14ac:dyDescent="0.3">
      <c r="A150" s="5" t="s">
        <v>365</v>
      </c>
      <c r="B150" s="5" t="s">
        <v>100</v>
      </c>
      <c r="C150" s="6">
        <v>18</v>
      </c>
      <c r="D150" s="5" t="s">
        <v>96</v>
      </c>
      <c r="E150" s="5" t="s">
        <v>819</v>
      </c>
      <c r="F150" s="5" t="s">
        <v>132</v>
      </c>
      <c r="G150" s="5" t="s">
        <v>223</v>
      </c>
      <c r="H150" s="7">
        <v>45903</v>
      </c>
      <c r="I150" s="7">
        <v>45903</v>
      </c>
      <c r="J150" s="5" t="s">
        <v>139</v>
      </c>
      <c r="K150" s="5" t="s">
        <v>140</v>
      </c>
      <c r="L150" s="8">
        <v>274232.43</v>
      </c>
      <c r="M150" s="5" t="s">
        <v>32</v>
      </c>
      <c r="N150" s="5" t="s">
        <v>33</v>
      </c>
      <c r="O150" s="5" t="s">
        <v>41</v>
      </c>
      <c r="P150" s="5" t="str">
        <f>IF(hospital_patient_unclean_500__2[[#This Row],[Age]]&lt;18,"0-17",IF(hospital_patient_unclean_500__2[[#This Row],[Age]]&lt;36,"18-35",IF(hospital_patient_unclean_500__2[[#This Row],[Age]]&lt;51,"36-50",IF(hospital_patient_unclean_500__2[[#This Row],[Age]]&lt;66,"51-65","66+"))))</f>
        <v>18-35</v>
      </c>
    </row>
    <row r="151" spans="1:16" x14ac:dyDescent="0.3">
      <c r="A151" s="5" t="s">
        <v>366</v>
      </c>
      <c r="B151" s="5" t="s">
        <v>367</v>
      </c>
      <c r="C151" s="6">
        <v>75</v>
      </c>
      <c r="D151" s="5" t="s">
        <v>51</v>
      </c>
      <c r="E151" s="5" t="s">
        <v>64</v>
      </c>
      <c r="F151" s="5" t="s">
        <v>132</v>
      </c>
      <c r="G151" s="5" t="s">
        <v>223</v>
      </c>
      <c r="H151" s="7">
        <v>45667</v>
      </c>
      <c r="I151" s="7">
        <v>45684</v>
      </c>
      <c r="J151" s="5" t="s">
        <v>134</v>
      </c>
      <c r="K151" s="5" t="s">
        <v>135</v>
      </c>
      <c r="L151" s="8">
        <v>212814.74</v>
      </c>
      <c r="M151" s="5" t="s">
        <v>32</v>
      </c>
      <c r="N151" s="5" t="s">
        <v>819</v>
      </c>
      <c r="O151" s="5" t="s">
        <v>25</v>
      </c>
      <c r="P151" s="5" t="str">
        <f>IF(hospital_patient_unclean_500__2[[#This Row],[Age]]&lt;18,"0-17",IF(hospital_patient_unclean_500__2[[#This Row],[Age]]&lt;36,"18-35",IF(hospital_patient_unclean_500__2[[#This Row],[Age]]&lt;51,"36-50",IF(hospital_patient_unclean_500__2[[#This Row],[Age]]&lt;66,"51-65","66+"))))</f>
        <v>66+</v>
      </c>
    </row>
    <row r="152" spans="1:16" x14ac:dyDescent="0.3">
      <c r="A152" s="5" t="s">
        <v>368</v>
      </c>
      <c r="B152" s="5" t="s">
        <v>162</v>
      </c>
      <c r="C152" s="6">
        <v>41</v>
      </c>
      <c r="D152" s="5" t="s">
        <v>17</v>
      </c>
      <c r="E152" s="5" t="s">
        <v>111</v>
      </c>
      <c r="F152" s="5" t="s">
        <v>53</v>
      </c>
      <c r="G152" s="5" t="s">
        <v>143</v>
      </c>
      <c r="H152" s="7">
        <v>45713</v>
      </c>
      <c r="I152" s="7">
        <v>45729</v>
      </c>
      <c r="J152" s="5" t="s">
        <v>200</v>
      </c>
      <c r="K152" s="5" t="s">
        <v>201</v>
      </c>
      <c r="L152" s="8">
        <v>167131.29</v>
      </c>
      <c r="M152" s="5" t="s">
        <v>32</v>
      </c>
      <c r="N152" s="5" t="s">
        <v>33</v>
      </c>
      <c r="O152" s="5" t="s">
        <v>25</v>
      </c>
      <c r="P152" s="5" t="str">
        <f>IF(hospital_patient_unclean_500__2[[#This Row],[Age]]&lt;18,"0-17",IF(hospital_patient_unclean_500__2[[#This Row],[Age]]&lt;36,"18-35",IF(hospital_patient_unclean_500__2[[#This Row],[Age]]&lt;51,"36-50",IF(hospital_patient_unclean_500__2[[#This Row],[Age]]&lt;66,"51-65","66+"))))</f>
        <v>36-50</v>
      </c>
    </row>
    <row r="153" spans="1:16" x14ac:dyDescent="0.3">
      <c r="A153" s="5" t="s">
        <v>369</v>
      </c>
      <c r="B153" s="5" t="s">
        <v>370</v>
      </c>
      <c r="C153" s="6">
        <v>42</v>
      </c>
      <c r="D153" s="5" t="s">
        <v>17</v>
      </c>
      <c r="E153" s="5" t="s">
        <v>84</v>
      </c>
      <c r="F153" s="5" t="s">
        <v>132</v>
      </c>
      <c r="G153" s="5" t="s">
        <v>133</v>
      </c>
      <c r="H153" s="7">
        <v>45865</v>
      </c>
      <c r="I153" s="7">
        <v>45865</v>
      </c>
      <c r="J153" s="5" t="s">
        <v>147</v>
      </c>
      <c r="K153" s="5" t="s">
        <v>148</v>
      </c>
      <c r="L153" s="8">
        <v>326680.27</v>
      </c>
      <c r="M153" s="5" t="s">
        <v>40</v>
      </c>
      <c r="N153" s="5" t="s">
        <v>33</v>
      </c>
      <c r="O153" s="5" t="s">
        <v>34</v>
      </c>
      <c r="P153" s="5" t="str">
        <f>IF(hospital_patient_unclean_500__2[[#This Row],[Age]]&lt;18,"0-17",IF(hospital_patient_unclean_500__2[[#This Row],[Age]]&lt;36,"18-35",IF(hospital_patient_unclean_500__2[[#This Row],[Age]]&lt;51,"36-50",IF(hospital_patient_unclean_500__2[[#This Row],[Age]]&lt;66,"51-65","66+"))))</f>
        <v>36-50</v>
      </c>
    </row>
    <row r="154" spans="1:16" x14ac:dyDescent="0.3">
      <c r="A154" s="5" t="s">
        <v>844</v>
      </c>
      <c r="B154" s="5" t="s">
        <v>115</v>
      </c>
      <c r="C154" s="6">
        <v>35</v>
      </c>
      <c r="D154" s="5" t="s">
        <v>51</v>
      </c>
      <c r="E154" s="5" t="s">
        <v>86</v>
      </c>
      <c r="F154" s="5" t="s">
        <v>132</v>
      </c>
      <c r="G154" s="5" t="s">
        <v>138</v>
      </c>
      <c r="H154" s="7">
        <v>46017</v>
      </c>
      <c r="I154" s="7">
        <v>46017</v>
      </c>
      <c r="J154" s="5" t="s">
        <v>134</v>
      </c>
      <c r="K154" s="5" t="s">
        <v>135</v>
      </c>
      <c r="L154" s="8">
        <v>296096.15000000002</v>
      </c>
      <c r="M154" s="5" t="s">
        <v>99</v>
      </c>
      <c r="N154" s="5" t="s">
        <v>24</v>
      </c>
      <c r="O154" s="5" t="s">
        <v>41</v>
      </c>
      <c r="P154" s="5" t="str">
        <f>IF(hospital_patient_unclean_500__2[[#This Row],[Age]]&lt;18,"0-17",IF(hospital_patient_unclean_500__2[[#This Row],[Age]]&lt;36,"18-35",IF(hospital_patient_unclean_500__2[[#This Row],[Age]]&lt;51,"36-50",IF(hospital_patient_unclean_500__2[[#This Row],[Age]]&lt;66,"51-65","66+"))))</f>
        <v>18-35</v>
      </c>
    </row>
    <row r="155" spans="1:16" x14ac:dyDescent="0.3">
      <c r="A155" s="5" t="s">
        <v>371</v>
      </c>
      <c r="B155" s="5" t="s">
        <v>372</v>
      </c>
      <c r="C155" s="6">
        <v>12</v>
      </c>
      <c r="D155" s="5" t="s">
        <v>17</v>
      </c>
      <c r="E155" s="5" t="s">
        <v>86</v>
      </c>
      <c r="F155" s="5" t="s">
        <v>87</v>
      </c>
      <c r="G155" s="5" t="s">
        <v>324</v>
      </c>
      <c r="H155" s="7">
        <v>45842</v>
      </c>
      <c r="I155" s="7">
        <v>45842</v>
      </c>
      <c r="J155" s="5" t="s">
        <v>171</v>
      </c>
      <c r="K155" s="5" t="s">
        <v>113</v>
      </c>
      <c r="L155" s="8">
        <v>296656.08</v>
      </c>
      <c r="M155" s="5" t="s">
        <v>60</v>
      </c>
      <c r="N155" s="5" t="s">
        <v>48</v>
      </c>
      <c r="O155" s="5" t="s">
        <v>41</v>
      </c>
      <c r="P155" s="5" t="str">
        <f>IF(hospital_patient_unclean_500__2[[#This Row],[Age]]&lt;18,"0-17",IF(hospital_patient_unclean_500__2[[#This Row],[Age]]&lt;36,"18-35",IF(hospital_patient_unclean_500__2[[#This Row],[Age]]&lt;51,"36-50",IF(hospital_patient_unclean_500__2[[#This Row],[Age]]&lt;66,"51-65","66+"))))</f>
        <v>0-17</v>
      </c>
    </row>
    <row r="156" spans="1:16" x14ac:dyDescent="0.3">
      <c r="A156" s="5" t="s">
        <v>373</v>
      </c>
      <c r="B156" s="5" t="s">
        <v>374</v>
      </c>
      <c r="C156" s="6">
        <v>38</v>
      </c>
      <c r="D156" s="5" t="s">
        <v>51</v>
      </c>
      <c r="E156" s="5" t="s">
        <v>124</v>
      </c>
      <c r="F156" s="5" t="s">
        <v>53</v>
      </c>
      <c r="G156" s="5" t="s">
        <v>69</v>
      </c>
      <c r="H156" s="7">
        <v>45735</v>
      </c>
      <c r="I156" s="7">
        <v>45740</v>
      </c>
      <c r="J156" s="5" t="s">
        <v>55</v>
      </c>
      <c r="K156" s="5" t="s">
        <v>56</v>
      </c>
      <c r="L156" s="8">
        <v>319545.57</v>
      </c>
      <c r="M156" s="5" t="s">
        <v>32</v>
      </c>
      <c r="N156" s="5" t="s">
        <v>819</v>
      </c>
      <c r="O156" s="5" t="s">
        <v>820</v>
      </c>
      <c r="P156" s="5" t="str">
        <f>IF(hospital_patient_unclean_500__2[[#This Row],[Age]]&lt;18,"0-17",IF(hospital_patient_unclean_500__2[[#This Row],[Age]]&lt;36,"18-35",IF(hospital_patient_unclean_500__2[[#This Row],[Age]]&lt;51,"36-50",IF(hospital_patient_unclean_500__2[[#This Row],[Age]]&lt;66,"51-65","66+"))))</f>
        <v>36-50</v>
      </c>
    </row>
    <row r="157" spans="1:16" x14ac:dyDescent="0.3">
      <c r="A157" s="5" t="s">
        <v>375</v>
      </c>
      <c r="B157" s="5" t="s">
        <v>376</v>
      </c>
      <c r="C157" s="6">
        <v>67</v>
      </c>
      <c r="D157" s="5" t="s">
        <v>17</v>
      </c>
      <c r="E157" s="5" t="s">
        <v>52</v>
      </c>
      <c r="F157" s="5" t="s">
        <v>53</v>
      </c>
      <c r="G157" s="5" t="s">
        <v>54</v>
      </c>
      <c r="H157" s="7">
        <v>45716</v>
      </c>
      <c r="I157" s="7">
        <v>45734</v>
      </c>
      <c r="J157" s="5" t="s">
        <v>70</v>
      </c>
      <c r="K157" s="5" t="s">
        <v>71</v>
      </c>
      <c r="L157" s="8">
        <v>288794.3</v>
      </c>
      <c r="M157" s="5" t="s">
        <v>99</v>
      </c>
      <c r="N157" s="5" t="s">
        <v>61</v>
      </c>
      <c r="O157" s="5" t="s">
        <v>93</v>
      </c>
      <c r="P157" s="5" t="str">
        <f>IF(hospital_patient_unclean_500__2[[#This Row],[Age]]&lt;18,"0-17",IF(hospital_patient_unclean_500__2[[#This Row],[Age]]&lt;36,"18-35",IF(hospital_patient_unclean_500__2[[#This Row],[Age]]&lt;51,"36-50",IF(hospital_patient_unclean_500__2[[#This Row],[Age]]&lt;66,"51-65","66+"))))</f>
        <v>66+</v>
      </c>
    </row>
    <row r="158" spans="1:16" x14ac:dyDescent="0.3">
      <c r="A158" s="5" t="s">
        <v>377</v>
      </c>
      <c r="B158" s="5" t="s">
        <v>179</v>
      </c>
      <c r="C158" s="6">
        <v>88</v>
      </c>
      <c r="D158" s="5" t="s">
        <v>51</v>
      </c>
      <c r="E158" s="5" t="s">
        <v>52</v>
      </c>
      <c r="F158" s="5" t="s">
        <v>53</v>
      </c>
      <c r="G158" s="5" t="s">
        <v>69</v>
      </c>
      <c r="H158" s="7">
        <v>45823</v>
      </c>
      <c r="I158" s="7">
        <v>45837</v>
      </c>
      <c r="J158" s="5" t="s">
        <v>200</v>
      </c>
      <c r="K158" s="5" t="s">
        <v>201</v>
      </c>
      <c r="L158" s="8">
        <v>216146.47</v>
      </c>
      <c r="M158" s="5" t="s">
        <v>819</v>
      </c>
      <c r="N158" s="5" t="s">
        <v>24</v>
      </c>
      <c r="O158" s="5" t="s">
        <v>93</v>
      </c>
      <c r="P158" s="5" t="str">
        <f>IF(hospital_patient_unclean_500__2[[#This Row],[Age]]&lt;18,"0-17",IF(hospital_patient_unclean_500__2[[#This Row],[Age]]&lt;36,"18-35",IF(hospital_patient_unclean_500__2[[#This Row],[Age]]&lt;51,"36-50",IF(hospital_patient_unclean_500__2[[#This Row],[Age]]&lt;66,"51-65","66+"))))</f>
        <v>66+</v>
      </c>
    </row>
    <row r="159" spans="1:16" x14ac:dyDescent="0.3">
      <c r="A159" s="5" t="s">
        <v>378</v>
      </c>
      <c r="B159" s="5" t="s">
        <v>379</v>
      </c>
      <c r="C159" s="6">
        <v>7</v>
      </c>
      <c r="D159" s="5" t="s">
        <v>51</v>
      </c>
      <c r="E159" s="5" t="s">
        <v>37</v>
      </c>
      <c r="F159" s="5" t="s">
        <v>819</v>
      </c>
      <c r="G159" s="5" t="s">
        <v>143</v>
      </c>
      <c r="H159" s="7">
        <v>45911</v>
      </c>
      <c r="I159" s="7">
        <v>45911</v>
      </c>
      <c r="J159" s="5" t="s">
        <v>107</v>
      </c>
      <c r="K159" s="5" t="s">
        <v>108</v>
      </c>
      <c r="L159" s="8">
        <v>206117.65</v>
      </c>
      <c r="M159" s="5" t="s">
        <v>99</v>
      </c>
      <c r="N159" s="5" t="s">
        <v>65</v>
      </c>
      <c r="O159" s="5" t="s">
        <v>41</v>
      </c>
      <c r="P159" s="5" t="str">
        <f>IF(hospital_patient_unclean_500__2[[#This Row],[Age]]&lt;18,"0-17",IF(hospital_patient_unclean_500__2[[#This Row],[Age]]&lt;36,"18-35",IF(hospital_patient_unclean_500__2[[#This Row],[Age]]&lt;51,"36-50",IF(hospital_patient_unclean_500__2[[#This Row],[Age]]&lt;66,"51-65","66+"))))</f>
        <v>0-17</v>
      </c>
    </row>
    <row r="160" spans="1:16" x14ac:dyDescent="0.3">
      <c r="A160" s="5" t="s">
        <v>380</v>
      </c>
      <c r="B160" s="5" t="s">
        <v>381</v>
      </c>
      <c r="C160" s="6">
        <v>74</v>
      </c>
      <c r="D160" s="5" t="s">
        <v>51</v>
      </c>
      <c r="E160" s="5" t="s">
        <v>37</v>
      </c>
      <c r="F160" s="5" t="s">
        <v>28</v>
      </c>
      <c r="G160" s="5" t="s">
        <v>195</v>
      </c>
      <c r="H160" s="7">
        <v>45853</v>
      </c>
      <c r="I160" s="7">
        <v>45857</v>
      </c>
      <c r="J160" s="5" t="s">
        <v>75</v>
      </c>
      <c r="K160" s="5" t="s">
        <v>76</v>
      </c>
      <c r="L160" s="8">
        <v>291252.39</v>
      </c>
      <c r="M160" s="5" t="s">
        <v>60</v>
      </c>
      <c r="N160" s="5" t="s">
        <v>61</v>
      </c>
      <c r="O160" s="5" t="s">
        <v>93</v>
      </c>
      <c r="P160" s="5" t="str">
        <f>IF(hospital_patient_unclean_500__2[[#This Row],[Age]]&lt;18,"0-17",IF(hospital_patient_unclean_500__2[[#This Row],[Age]]&lt;36,"18-35",IF(hospital_patient_unclean_500__2[[#This Row],[Age]]&lt;51,"36-50",IF(hospital_patient_unclean_500__2[[#This Row],[Age]]&lt;66,"51-65","66+"))))</f>
        <v>66+</v>
      </c>
    </row>
    <row r="161" spans="1:16" x14ac:dyDescent="0.3">
      <c r="A161" s="5" t="s">
        <v>382</v>
      </c>
      <c r="B161" s="5" t="s">
        <v>106</v>
      </c>
      <c r="C161" s="6">
        <v>84</v>
      </c>
      <c r="D161" s="5" t="s">
        <v>51</v>
      </c>
      <c r="E161" s="5" t="s">
        <v>86</v>
      </c>
      <c r="F161" s="5" t="s">
        <v>38</v>
      </c>
      <c r="G161" s="5" t="s">
        <v>79</v>
      </c>
      <c r="H161" s="7">
        <v>45775</v>
      </c>
      <c r="I161" s="7">
        <v>45793</v>
      </c>
      <c r="J161" s="5" t="s">
        <v>828</v>
      </c>
      <c r="K161" s="5" t="s">
        <v>39</v>
      </c>
      <c r="L161" s="8">
        <v>260581.65</v>
      </c>
      <c r="M161" s="5" t="s">
        <v>72</v>
      </c>
      <c r="N161" s="5" t="s">
        <v>24</v>
      </c>
      <c r="O161" s="5" t="s">
        <v>820</v>
      </c>
      <c r="P161" s="5" t="str">
        <f>IF(hospital_patient_unclean_500__2[[#This Row],[Age]]&lt;18,"0-17",IF(hospital_patient_unclean_500__2[[#This Row],[Age]]&lt;36,"18-35",IF(hospital_patient_unclean_500__2[[#This Row],[Age]]&lt;51,"36-50",IF(hospital_patient_unclean_500__2[[#This Row],[Age]]&lt;66,"51-65","66+"))))</f>
        <v>66+</v>
      </c>
    </row>
    <row r="162" spans="1:16" x14ac:dyDescent="0.3">
      <c r="A162" s="5" t="s">
        <v>383</v>
      </c>
      <c r="B162" s="5" t="s">
        <v>384</v>
      </c>
      <c r="C162" s="6">
        <v>70</v>
      </c>
      <c r="D162" s="5" t="s">
        <v>51</v>
      </c>
      <c r="E162" s="5" t="s">
        <v>84</v>
      </c>
      <c r="F162" s="5" t="s">
        <v>28</v>
      </c>
      <c r="G162" s="5" t="s">
        <v>195</v>
      </c>
      <c r="H162" s="7">
        <v>45672</v>
      </c>
      <c r="I162" s="7">
        <v>45685</v>
      </c>
      <c r="J162" s="5" t="s">
        <v>30</v>
      </c>
      <c r="K162" s="5" t="s">
        <v>31</v>
      </c>
      <c r="L162" s="8">
        <v>0</v>
      </c>
      <c r="M162" s="5" t="s">
        <v>99</v>
      </c>
      <c r="N162" s="5" t="s">
        <v>61</v>
      </c>
      <c r="O162" s="5" t="s">
        <v>820</v>
      </c>
      <c r="P162" s="5" t="str">
        <f>IF(hospital_patient_unclean_500__2[[#This Row],[Age]]&lt;18,"0-17",IF(hospital_patient_unclean_500__2[[#This Row],[Age]]&lt;36,"18-35",IF(hospital_patient_unclean_500__2[[#This Row],[Age]]&lt;51,"36-50",IF(hospital_patient_unclean_500__2[[#This Row],[Age]]&lt;66,"51-65","66+"))))</f>
        <v>66+</v>
      </c>
    </row>
    <row r="163" spans="1:16" x14ac:dyDescent="0.3">
      <c r="A163" s="5" t="s">
        <v>385</v>
      </c>
      <c r="B163" s="5" t="s">
        <v>386</v>
      </c>
      <c r="C163" s="6">
        <v>28</v>
      </c>
      <c r="D163" s="5" t="s">
        <v>51</v>
      </c>
      <c r="E163" s="5" t="s">
        <v>43</v>
      </c>
      <c r="F163" s="5" t="s">
        <v>28</v>
      </c>
      <c r="G163" s="5" t="s">
        <v>101</v>
      </c>
      <c r="H163" s="7">
        <v>45928</v>
      </c>
      <c r="I163" s="7">
        <v>45940</v>
      </c>
      <c r="J163" s="5" t="s">
        <v>819</v>
      </c>
      <c r="K163" s="5" t="s">
        <v>103</v>
      </c>
      <c r="L163" s="8">
        <v>325321.69</v>
      </c>
      <c r="M163" s="5" t="s">
        <v>32</v>
      </c>
      <c r="N163" s="5" t="s">
        <v>48</v>
      </c>
      <c r="O163" s="5" t="s">
        <v>25</v>
      </c>
      <c r="P163" s="5" t="str">
        <f>IF(hospital_patient_unclean_500__2[[#This Row],[Age]]&lt;18,"0-17",IF(hospital_patient_unclean_500__2[[#This Row],[Age]]&lt;36,"18-35",IF(hospital_patient_unclean_500__2[[#This Row],[Age]]&lt;51,"36-50",IF(hospital_patient_unclean_500__2[[#This Row],[Age]]&lt;66,"51-65","66+"))))</f>
        <v>18-35</v>
      </c>
    </row>
    <row r="164" spans="1:16" x14ac:dyDescent="0.3">
      <c r="A164" s="5" t="s">
        <v>387</v>
      </c>
      <c r="B164" s="5" t="s">
        <v>388</v>
      </c>
      <c r="C164" s="6">
        <v>70</v>
      </c>
      <c r="D164" s="5" t="s">
        <v>51</v>
      </c>
      <c r="E164" s="5" t="s">
        <v>111</v>
      </c>
      <c r="F164" s="5" t="s">
        <v>28</v>
      </c>
      <c r="G164" s="5" t="s">
        <v>101</v>
      </c>
      <c r="H164" s="7">
        <v>45844</v>
      </c>
      <c r="I164" s="7">
        <v>45857</v>
      </c>
      <c r="J164" s="5" t="s">
        <v>75</v>
      </c>
      <c r="K164" s="5" t="s">
        <v>76</v>
      </c>
      <c r="L164" s="8">
        <v>191669.61</v>
      </c>
      <c r="M164" s="5" t="s">
        <v>40</v>
      </c>
      <c r="N164" s="5" t="s">
        <v>819</v>
      </c>
      <c r="O164" s="5" t="s">
        <v>93</v>
      </c>
      <c r="P164" s="5" t="str">
        <f>IF(hospital_patient_unclean_500__2[[#This Row],[Age]]&lt;18,"0-17",IF(hospital_patient_unclean_500__2[[#This Row],[Age]]&lt;36,"18-35",IF(hospital_patient_unclean_500__2[[#This Row],[Age]]&lt;51,"36-50",IF(hospital_patient_unclean_500__2[[#This Row],[Age]]&lt;66,"51-65","66+"))))</f>
        <v>66+</v>
      </c>
    </row>
    <row r="165" spans="1:16" x14ac:dyDescent="0.3">
      <c r="A165" s="5" t="s">
        <v>845</v>
      </c>
      <c r="B165" s="5" t="s">
        <v>389</v>
      </c>
      <c r="C165" s="6">
        <v>79</v>
      </c>
      <c r="D165" s="5" t="s">
        <v>51</v>
      </c>
      <c r="E165" s="5" t="s">
        <v>64</v>
      </c>
      <c r="F165" s="5" t="s">
        <v>19</v>
      </c>
      <c r="G165" s="5" t="s">
        <v>158</v>
      </c>
      <c r="H165" s="7">
        <v>45717</v>
      </c>
      <c r="I165" s="7">
        <v>45940</v>
      </c>
      <c r="J165" s="5" t="s">
        <v>21</v>
      </c>
      <c r="K165" s="5" t="s">
        <v>22</v>
      </c>
      <c r="L165" s="8">
        <v>257496.48</v>
      </c>
      <c r="M165" s="5" t="s">
        <v>40</v>
      </c>
      <c r="N165" s="5" t="s">
        <v>33</v>
      </c>
      <c r="O165" s="5" t="s">
        <v>41</v>
      </c>
      <c r="P165" s="5" t="str">
        <f>IF(hospital_patient_unclean_500__2[[#This Row],[Age]]&lt;18,"0-17",IF(hospital_patient_unclean_500__2[[#This Row],[Age]]&lt;36,"18-35",IF(hospital_patient_unclean_500__2[[#This Row],[Age]]&lt;51,"36-50",IF(hospital_patient_unclean_500__2[[#This Row],[Age]]&lt;66,"51-65","66+"))))</f>
        <v>66+</v>
      </c>
    </row>
    <row r="166" spans="1:16" x14ac:dyDescent="0.3">
      <c r="A166" s="5" t="s">
        <v>390</v>
      </c>
      <c r="B166" s="5" t="s">
        <v>58</v>
      </c>
      <c r="C166" s="6">
        <v>43</v>
      </c>
      <c r="D166" s="5" t="s">
        <v>51</v>
      </c>
      <c r="E166" s="5" t="s">
        <v>43</v>
      </c>
      <c r="F166" s="5" t="s">
        <v>38</v>
      </c>
      <c r="G166" s="5" t="s">
        <v>167</v>
      </c>
      <c r="H166" s="7">
        <v>46018</v>
      </c>
      <c r="I166" s="7">
        <v>46022</v>
      </c>
      <c r="J166" s="5" t="s">
        <v>184</v>
      </c>
      <c r="K166" s="5" t="s">
        <v>59</v>
      </c>
      <c r="L166" s="8">
        <v>328694.76</v>
      </c>
      <c r="M166" s="5" t="s">
        <v>23</v>
      </c>
      <c r="N166" s="5" t="s">
        <v>61</v>
      </c>
      <c r="O166" s="5" t="s">
        <v>820</v>
      </c>
      <c r="P166" s="5" t="str">
        <f>IF(hospital_patient_unclean_500__2[[#This Row],[Age]]&lt;18,"0-17",IF(hospital_patient_unclean_500__2[[#This Row],[Age]]&lt;36,"18-35",IF(hospital_patient_unclean_500__2[[#This Row],[Age]]&lt;51,"36-50",IF(hospital_patient_unclean_500__2[[#This Row],[Age]]&lt;66,"51-65","66+"))))</f>
        <v>36-50</v>
      </c>
    </row>
    <row r="167" spans="1:16" x14ac:dyDescent="0.3">
      <c r="A167" s="5" t="s">
        <v>391</v>
      </c>
      <c r="B167" s="5" t="s">
        <v>392</v>
      </c>
      <c r="C167" s="6">
        <v>13</v>
      </c>
      <c r="D167" s="5" t="s">
        <v>17</v>
      </c>
      <c r="E167" s="5" t="s">
        <v>64</v>
      </c>
      <c r="F167" s="5" t="s">
        <v>87</v>
      </c>
      <c r="G167" s="5" t="s">
        <v>88</v>
      </c>
      <c r="H167" s="7">
        <v>45818</v>
      </c>
      <c r="I167" s="7">
        <v>45834</v>
      </c>
      <c r="J167" s="5" t="s">
        <v>89</v>
      </c>
      <c r="K167" s="5" t="s">
        <v>92</v>
      </c>
      <c r="L167" s="8">
        <v>0</v>
      </c>
      <c r="M167" s="5" t="s">
        <v>23</v>
      </c>
      <c r="N167" s="5" t="s">
        <v>65</v>
      </c>
      <c r="O167" s="5" t="s">
        <v>25</v>
      </c>
      <c r="P167" s="5" t="str">
        <f>IF(hospital_patient_unclean_500__2[[#This Row],[Age]]&lt;18,"0-17",IF(hospital_patient_unclean_500__2[[#This Row],[Age]]&lt;36,"18-35",IF(hospital_patient_unclean_500__2[[#This Row],[Age]]&lt;51,"36-50",IF(hospital_patient_unclean_500__2[[#This Row],[Age]]&lt;66,"51-65","66+"))))</f>
        <v>0-17</v>
      </c>
    </row>
    <row r="168" spans="1:16" x14ac:dyDescent="0.3">
      <c r="A168" s="5" t="s">
        <v>393</v>
      </c>
      <c r="B168" s="5" t="s">
        <v>819</v>
      </c>
      <c r="C168" s="6">
        <v>44</v>
      </c>
      <c r="D168" s="5" t="s">
        <v>17</v>
      </c>
      <c r="E168" s="5" t="s">
        <v>86</v>
      </c>
      <c r="F168" s="5" t="s">
        <v>53</v>
      </c>
      <c r="G168" s="5" t="s">
        <v>54</v>
      </c>
      <c r="H168" s="7">
        <v>45744</v>
      </c>
      <c r="I168" s="7">
        <v>45748</v>
      </c>
      <c r="J168" s="5" t="s">
        <v>819</v>
      </c>
      <c r="K168" s="5" t="s">
        <v>201</v>
      </c>
      <c r="L168" s="8">
        <v>219135.3</v>
      </c>
      <c r="M168" s="5" t="s">
        <v>23</v>
      </c>
      <c r="N168" s="5" t="s">
        <v>61</v>
      </c>
      <c r="O168" s="5" t="s">
        <v>25</v>
      </c>
      <c r="P168" s="5" t="str">
        <f>IF(hospital_patient_unclean_500__2[[#This Row],[Age]]&lt;18,"0-17",IF(hospital_patient_unclean_500__2[[#This Row],[Age]]&lt;36,"18-35",IF(hospital_patient_unclean_500__2[[#This Row],[Age]]&lt;51,"36-50",IF(hospital_patient_unclean_500__2[[#This Row],[Age]]&lt;66,"51-65","66+"))))</f>
        <v>36-50</v>
      </c>
    </row>
    <row r="169" spans="1:16" x14ac:dyDescent="0.3">
      <c r="A169" s="5" t="s">
        <v>394</v>
      </c>
      <c r="B169" s="5" t="s">
        <v>395</v>
      </c>
      <c r="C169" s="6">
        <v>85</v>
      </c>
      <c r="D169" s="5" t="s">
        <v>51</v>
      </c>
      <c r="E169" s="5" t="s">
        <v>111</v>
      </c>
      <c r="F169" s="5" t="s">
        <v>28</v>
      </c>
      <c r="G169" s="5" t="s">
        <v>195</v>
      </c>
      <c r="H169" s="7">
        <v>45720</v>
      </c>
      <c r="I169" s="7">
        <v>45736</v>
      </c>
      <c r="J169" s="5" t="s">
        <v>102</v>
      </c>
      <c r="K169" s="5" t="s">
        <v>103</v>
      </c>
      <c r="L169" s="8">
        <v>129775.24</v>
      </c>
      <c r="M169" s="5" t="s">
        <v>47</v>
      </c>
      <c r="N169" s="5" t="s">
        <v>33</v>
      </c>
      <c r="O169" s="5" t="s">
        <v>34</v>
      </c>
      <c r="P169" s="5" t="str">
        <f>IF(hospital_patient_unclean_500__2[[#This Row],[Age]]&lt;18,"0-17",IF(hospital_patient_unclean_500__2[[#This Row],[Age]]&lt;36,"18-35",IF(hospital_patient_unclean_500__2[[#This Row],[Age]]&lt;51,"36-50",IF(hospital_patient_unclean_500__2[[#This Row],[Age]]&lt;66,"51-65","66+"))))</f>
        <v>66+</v>
      </c>
    </row>
    <row r="170" spans="1:16" x14ac:dyDescent="0.3">
      <c r="A170" s="5" t="s">
        <v>396</v>
      </c>
      <c r="B170" s="5" t="s">
        <v>305</v>
      </c>
      <c r="C170" s="6">
        <v>83</v>
      </c>
      <c r="D170" s="5" t="s">
        <v>17</v>
      </c>
      <c r="E170" s="5" t="s">
        <v>68</v>
      </c>
      <c r="F170" s="5" t="s">
        <v>44</v>
      </c>
      <c r="G170" s="5" t="s">
        <v>153</v>
      </c>
      <c r="H170" s="7">
        <v>45778</v>
      </c>
      <c r="I170" s="7">
        <v>45783</v>
      </c>
      <c r="J170" s="5" t="s">
        <v>830</v>
      </c>
      <c r="K170" s="5" t="s">
        <v>46</v>
      </c>
      <c r="L170" s="8">
        <v>41341.620000000003</v>
      </c>
      <c r="M170" s="5" t="s">
        <v>32</v>
      </c>
      <c r="N170" s="5" t="s">
        <v>33</v>
      </c>
      <c r="O170" s="5" t="s">
        <v>34</v>
      </c>
      <c r="P170" s="5" t="str">
        <f>IF(hospital_patient_unclean_500__2[[#This Row],[Age]]&lt;18,"0-17",IF(hospital_patient_unclean_500__2[[#This Row],[Age]]&lt;36,"18-35",IF(hospital_patient_unclean_500__2[[#This Row],[Age]]&lt;51,"36-50",IF(hospital_patient_unclean_500__2[[#This Row],[Age]]&lt;66,"51-65","66+"))))</f>
        <v>66+</v>
      </c>
    </row>
    <row r="171" spans="1:16" x14ac:dyDescent="0.3">
      <c r="A171" s="5" t="s">
        <v>397</v>
      </c>
      <c r="B171" s="5" t="s">
        <v>398</v>
      </c>
      <c r="C171" s="6">
        <v>81</v>
      </c>
      <c r="D171" s="5" t="s">
        <v>51</v>
      </c>
      <c r="E171" s="5" t="s">
        <v>111</v>
      </c>
      <c r="F171" s="5" t="s">
        <v>19</v>
      </c>
      <c r="G171" s="5" t="s">
        <v>20</v>
      </c>
      <c r="H171" s="7">
        <v>45662</v>
      </c>
      <c r="I171" s="7">
        <v>45665</v>
      </c>
      <c r="J171" s="5" t="s">
        <v>21</v>
      </c>
      <c r="K171" s="5" t="s">
        <v>22</v>
      </c>
      <c r="L171" s="8">
        <v>146620.88</v>
      </c>
      <c r="M171" s="5" t="s">
        <v>32</v>
      </c>
      <c r="N171" s="5" t="s">
        <v>33</v>
      </c>
      <c r="O171" s="5" t="s">
        <v>820</v>
      </c>
      <c r="P171" s="5" t="str">
        <f>IF(hospital_patient_unclean_500__2[[#This Row],[Age]]&lt;18,"0-17",IF(hospital_patient_unclean_500__2[[#This Row],[Age]]&lt;36,"18-35",IF(hospital_patient_unclean_500__2[[#This Row],[Age]]&lt;51,"36-50",IF(hospital_patient_unclean_500__2[[#This Row],[Age]]&lt;66,"51-65","66+"))))</f>
        <v>66+</v>
      </c>
    </row>
    <row r="172" spans="1:16" x14ac:dyDescent="0.3">
      <c r="A172" s="5" t="s">
        <v>399</v>
      </c>
      <c r="B172" s="5" t="s">
        <v>234</v>
      </c>
      <c r="C172" s="6">
        <v>65</v>
      </c>
      <c r="D172" s="5" t="s">
        <v>819</v>
      </c>
      <c r="E172" s="5" t="s">
        <v>84</v>
      </c>
      <c r="F172" s="5" t="s">
        <v>28</v>
      </c>
      <c r="G172" s="5" t="s">
        <v>195</v>
      </c>
      <c r="H172" s="7">
        <v>45864</v>
      </c>
      <c r="I172" s="7">
        <v>45864</v>
      </c>
      <c r="J172" s="5" t="s">
        <v>30</v>
      </c>
      <c r="K172" s="5" t="s">
        <v>31</v>
      </c>
      <c r="L172" s="8">
        <v>63274.400000000001</v>
      </c>
      <c r="M172" s="5" t="s">
        <v>72</v>
      </c>
      <c r="N172" s="5" t="s">
        <v>61</v>
      </c>
      <c r="O172" s="5" t="s">
        <v>41</v>
      </c>
      <c r="P172" s="5" t="str">
        <f>IF(hospital_patient_unclean_500__2[[#This Row],[Age]]&lt;18,"0-17",IF(hospital_patient_unclean_500__2[[#This Row],[Age]]&lt;36,"18-35",IF(hospital_patient_unclean_500__2[[#This Row],[Age]]&lt;51,"36-50",IF(hospital_patient_unclean_500__2[[#This Row],[Age]]&lt;66,"51-65","66+"))))</f>
        <v>51-65</v>
      </c>
    </row>
    <row r="173" spans="1:16" x14ac:dyDescent="0.3">
      <c r="A173" s="5" t="s">
        <v>846</v>
      </c>
      <c r="B173" s="5" t="s">
        <v>400</v>
      </c>
      <c r="C173" s="6">
        <v>18</v>
      </c>
      <c r="D173" s="5" t="s">
        <v>17</v>
      </c>
      <c r="E173" s="5" t="s">
        <v>37</v>
      </c>
      <c r="F173" s="5" t="s">
        <v>53</v>
      </c>
      <c r="G173" s="5" t="s">
        <v>54</v>
      </c>
      <c r="H173" s="7">
        <v>45854</v>
      </c>
      <c r="I173" s="7">
        <v>45864</v>
      </c>
      <c r="J173" s="5" t="s">
        <v>55</v>
      </c>
      <c r="K173" s="5" t="s">
        <v>56</v>
      </c>
      <c r="L173" s="8">
        <v>47162.34</v>
      </c>
      <c r="M173" s="5" t="s">
        <v>47</v>
      </c>
      <c r="N173" s="5" t="s">
        <v>65</v>
      </c>
      <c r="O173" s="5" t="s">
        <v>34</v>
      </c>
      <c r="P173" s="5" t="str">
        <f>IF(hospital_patient_unclean_500__2[[#This Row],[Age]]&lt;18,"0-17",IF(hospital_patient_unclean_500__2[[#This Row],[Age]]&lt;36,"18-35",IF(hospital_patient_unclean_500__2[[#This Row],[Age]]&lt;51,"36-50",IF(hospital_patient_unclean_500__2[[#This Row],[Age]]&lt;66,"51-65","66+"))))</f>
        <v>18-35</v>
      </c>
    </row>
    <row r="174" spans="1:16" x14ac:dyDescent="0.3">
      <c r="A174" s="5" t="s">
        <v>401</v>
      </c>
      <c r="B174" s="5" t="s">
        <v>225</v>
      </c>
      <c r="C174" s="6">
        <v>44</v>
      </c>
      <c r="D174" s="5" t="s">
        <v>17</v>
      </c>
      <c r="E174" s="5" t="s">
        <v>52</v>
      </c>
      <c r="F174" s="5" t="s">
        <v>44</v>
      </c>
      <c r="G174" s="5" t="s">
        <v>45</v>
      </c>
      <c r="H174" s="7">
        <v>45839</v>
      </c>
      <c r="I174" s="7">
        <v>45847</v>
      </c>
      <c r="J174" s="5" t="s">
        <v>154</v>
      </c>
      <c r="K174" s="5" t="s">
        <v>155</v>
      </c>
      <c r="L174" s="8">
        <v>61086.32</v>
      </c>
      <c r="M174" s="5" t="s">
        <v>40</v>
      </c>
      <c r="N174" s="5" t="s">
        <v>24</v>
      </c>
      <c r="O174" s="5" t="s">
        <v>25</v>
      </c>
      <c r="P174" s="5" t="str">
        <f>IF(hospital_patient_unclean_500__2[[#This Row],[Age]]&lt;18,"0-17",IF(hospital_patient_unclean_500__2[[#This Row],[Age]]&lt;36,"18-35",IF(hospital_patient_unclean_500__2[[#This Row],[Age]]&lt;51,"36-50",IF(hospital_patient_unclean_500__2[[#This Row],[Age]]&lt;66,"51-65","66+"))))</f>
        <v>36-50</v>
      </c>
    </row>
    <row r="175" spans="1:16" x14ac:dyDescent="0.3">
      <c r="A175" s="5" t="s">
        <v>402</v>
      </c>
      <c r="B175" s="5" t="s">
        <v>819</v>
      </c>
      <c r="C175" s="6">
        <v>39</v>
      </c>
      <c r="D175" s="5" t="s">
        <v>17</v>
      </c>
      <c r="E175" s="5" t="s">
        <v>86</v>
      </c>
      <c r="F175" s="5" t="s">
        <v>132</v>
      </c>
      <c r="G175" s="5" t="s">
        <v>223</v>
      </c>
      <c r="H175" s="7">
        <v>45668</v>
      </c>
      <c r="I175" s="7">
        <v>45669</v>
      </c>
      <c r="J175" s="5" t="s">
        <v>134</v>
      </c>
      <c r="K175" s="5" t="s">
        <v>135</v>
      </c>
      <c r="L175" s="8">
        <v>296960.7</v>
      </c>
      <c r="M175" s="5" t="s">
        <v>32</v>
      </c>
      <c r="N175" s="5" t="s">
        <v>61</v>
      </c>
      <c r="O175" s="5" t="s">
        <v>25</v>
      </c>
      <c r="P175" s="5" t="str">
        <f>IF(hospital_patient_unclean_500__2[[#This Row],[Age]]&lt;18,"0-17",IF(hospital_patient_unclean_500__2[[#This Row],[Age]]&lt;36,"18-35",IF(hospital_patient_unclean_500__2[[#This Row],[Age]]&lt;51,"36-50",IF(hospital_patient_unclean_500__2[[#This Row],[Age]]&lt;66,"51-65","66+"))))</f>
        <v>36-50</v>
      </c>
    </row>
    <row r="176" spans="1:16" x14ac:dyDescent="0.3">
      <c r="A176" s="5" t="s">
        <v>847</v>
      </c>
      <c r="B176" s="5" t="s">
        <v>403</v>
      </c>
      <c r="C176" s="6">
        <v>71</v>
      </c>
      <c r="D176" s="5" t="s">
        <v>17</v>
      </c>
      <c r="E176" s="5" t="s">
        <v>37</v>
      </c>
      <c r="F176" s="5" t="s">
        <v>132</v>
      </c>
      <c r="G176" s="5" t="s">
        <v>223</v>
      </c>
      <c r="H176" s="7">
        <v>45695</v>
      </c>
      <c r="I176" s="7">
        <v>45696</v>
      </c>
      <c r="J176" s="5" t="s">
        <v>134</v>
      </c>
      <c r="K176" s="5" t="s">
        <v>135</v>
      </c>
      <c r="L176" s="8">
        <v>145643.35999999999</v>
      </c>
      <c r="M176" s="5" t="s">
        <v>32</v>
      </c>
      <c r="N176" s="5" t="s">
        <v>48</v>
      </c>
      <c r="O176" s="5" t="s">
        <v>41</v>
      </c>
      <c r="P176" s="5" t="str">
        <f>IF(hospital_patient_unclean_500__2[[#This Row],[Age]]&lt;18,"0-17",IF(hospital_patient_unclean_500__2[[#This Row],[Age]]&lt;36,"18-35",IF(hospital_patient_unclean_500__2[[#This Row],[Age]]&lt;51,"36-50",IF(hospital_patient_unclean_500__2[[#This Row],[Age]]&lt;66,"51-65","66+"))))</f>
        <v>66+</v>
      </c>
    </row>
    <row r="177" spans="1:16" x14ac:dyDescent="0.3">
      <c r="A177" s="5" t="s">
        <v>404</v>
      </c>
      <c r="B177" s="5" t="s">
        <v>213</v>
      </c>
      <c r="C177" s="6">
        <v>7</v>
      </c>
      <c r="D177" s="5" t="s">
        <v>17</v>
      </c>
      <c r="E177" s="5" t="s">
        <v>18</v>
      </c>
      <c r="F177" s="5" t="s">
        <v>28</v>
      </c>
      <c r="G177" s="5" t="s">
        <v>29</v>
      </c>
      <c r="H177" s="7">
        <v>45721</v>
      </c>
      <c r="I177" s="7">
        <v>45723</v>
      </c>
      <c r="J177" s="5" t="s">
        <v>75</v>
      </c>
      <c r="K177" s="5" t="s">
        <v>76</v>
      </c>
      <c r="L177" s="8">
        <v>122826.86</v>
      </c>
      <c r="M177" s="5" t="s">
        <v>32</v>
      </c>
      <c r="N177" s="5" t="s">
        <v>24</v>
      </c>
      <c r="O177" s="5" t="s">
        <v>820</v>
      </c>
      <c r="P177" s="5" t="str">
        <f>IF(hospital_patient_unclean_500__2[[#This Row],[Age]]&lt;18,"0-17",IF(hospital_patient_unclean_500__2[[#This Row],[Age]]&lt;36,"18-35",IF(hospital_patient_unclean_500__2[[#This Row],[Age]]&lt;51,"36-50",IF(hospital_patient_unclean_500__2[[#This Row],[Age]]&lt;66,"51-65","66+"))))</f>
        <v>0-17</v>
      </c>
    </row>
    <row r="178" spans="1:16" x14ac:dyDescent="0.3">
      <c r="A178" s="5" t="s">
        <v>405</v>
      </c>
      <c r="B178" s="5" t="s">
        <v>186</v>
      </c>
      <c r="C178" s="6">
        <v>79</v>
      </c>
      <c r="D178" s="5" t="s">
        <v>17</v>
      </c>
      <c r="E178" s="5" t="s">
        <v>68</v>
      </c>
      <c r="F178" s="5" t="s">
        <v>28</v>
      </c>
      <c r="G178" s="5" t="s">
        <v>101</v>
      </c>
      <c r="H178" s="7">
        <v>45799</v>
      </c>
      <c r="I178" s="7">
        <v>45803</v>
      </c>
      <c r="J178" s="5" t="s">
        <v>819</v>
      </c>
      <c r="K178" s="5" t="s">
        <v>31</v>
      </c>
      <c r="L178" s="8">
        <v>110842.75</v>
      </c>
      <c r="M178" s="5" t="s">
        <v>47</v>
      </c>
      <c r="N178" s="5" t="s">
        <v>24</v>
      </c>
      <c r="O178" s="5" t="s">
        <v>25</v>
      </c>
      <c r="P178" s="5" t="str">
        <f>IF(hospital_patient_unclean_500__2[[#This Row],[Age]]&lt;18,"0-17",IF(hospital_patient_unclean_500__2[[#This Row],[Age]]&lt;36,"18-35",IF(hospital_patient_unclean_500__2[[#This Row],[Age]]&lt;51,"36-50",IF(hospital_patient_unclean_500__2[[#This Row],[Age]]&lt;66,"51-65","66+"))))</f>
        <v>66+</v>
      </c>
    </row>
    <row r="179" spans="1:16" x14ac:dyDescent="0.3">
      <c r="A179" s="5" t="s">
        <v>406</v>
      </c>
      <c r="B179" s="5" t="s">
        <v>407</v>
      </c>
      <c r="C179" s="6">
        <v>44</v>
      </c>
      <c r="D179" s="5" t="s">
        <v>17</v>
      </c>
      <c r="E179" s="5" t="s">
        <v>124</v>
      </c>
      <c r="F179" s="5" t="s">
        <v>38</v>
      </c>
      <c r="G179" s="5" t="s">
        <v>125</v>
      </c>
      <c r="H179" s="7">
        <v>45811</v>
      </c>
      <c r="I179" s="7">
        <v>45819</v>
      </c>
      <c r="J179" s="5" t="s">
        <v>80</v>
      </c>
      <c r="K179" s="5" t="s">
        <v>81</v>
      </c>
      <c r="L179" s="8">
        <v>263979.82</v>
      </c>
      <c r="M179" s="5" t="s">
        <v>47</v>
      </c>
      <c r="N179" s="5" t="s">
        <v>33</v>
      </c>
      <c r="O179" s="5" t="s">
        <v>93</v>
      </c>
      <c r="P179" s="5" t="str">
        <f>IF(hospital_patient_unclean_500__2[[#This Row],[Age]]&lt;18,"0-17",IF(hospital_patient_unclean_500__2[[#This Row],[Age]]&lt;36,"18-35",IF(hospital_patient_unclean_500__2[[#This Row],[Age]]&lt;51,"36-50",IF(hospital_patient_unclean_500__2[[#This Row],[Age]]&lt;66,"51-65","66+"))))</f>
        <v>36-50</v>
      </c>
    </row>
    <row r="180" spans="1:16" x14ac:dyDescent="0.3">
      <c r="A180" s="5" t="s">
        <v>408</v>
      </c>
      <c r="B180" s="5" t="s">
        <v>409</v>
      </c>
      <c r="C180" s="6">
        <v>88</v>
      </c>
      <c r="D180" s="5" t="s">
        <v>51</v>
      </c>
      <c r="E180" s="5" t="s">
        <v>111</v>
      </c>
      <c r="F180" s="5" t="s">
        <v>53</v>
      </c>
      <c r="G180" s="5" t="s">
        <v>69</v>
      </c>
      <c r="H180" s="7">
        <v>45663</v>
      </c>
      <c r="I180" s="7">
        <v>45676</v>
      </c>
      <c r="J180" s="5" t="s">
        <v>70</v>
      </c>
      <c r="K180" s="5" t="s">
        <v>71</v>
      </c>
      <c r="L180" s="8">
        <v>78147.22</v>
      </c>
      <c r="M180" s="5" t="s">
        <v>47</v>
      </c>
      <c r="N180" s="5" t="s">
        <v>48</v>
      </c>
      <c r="O180" s="5" t="s">
        <v>93</v>
      </c>
      <c r="P180" s="5" t="str">
        <f>IF(hospital_patient_unclean_500__2[[#This Row],[Age]]&lt;18,"0-17",IF(hospital_patient_unclean_500__2[[#This Row],[Age]]&lt;36,"18-35",IF(hospital_patient_unclean_500__2[[#This Row],[Age]]&lt;51,"36-50",IF(hospital_patient_unclean_500__2[[#This Row],[Age]]&lt;66,"51-65","66+"))))</f>
        <v>66+</v>
      </c>
    </row>
    <row r="181" spans="1:16" x14ac:dyDescent="0.3">
      <c r="A181" s="5" t="s">
        <v>410</v>
      </c>
      <c r="B181" s="5" t="s">
        <v>123</v>
      </c>
      <c r="C181" s="6">
        <v>81</v>
      </c>
      <c r="D181" s="5" t="s">
        <v>17</v>
      </c>
      <c r="E181" s="5" t="s">
        <v>64</v>
      </c>
      <c r="F181" s="5" t="s">
        <v>53</v>
      </c>
      <c r="G181" s="5" t="s">
        <v>69</v>
      </c>
      <c r="H181" s="7">
        <v>45771</v>
      </c>
      <c r="I181" s="7">
        <v>45771</v>
      </c>
      <c r="J181" s="5" t="s">
        <v>107</v>
      </c>
      <c r="K181" s="5" t="s">
        <v>108</v>
      </c>
      <c r="L181" s="8">
        <v>240033.83</v>
      </c>
      <c r="M181" s="5" t="s">
        <v>47</v>
      </c>
      <c r="N181" s="5" t="s">
        <v>24</v>
      </c>
      <c r="O181" s="5" t="s">
        <v>41</v>
      </c>
      <c r="P181" s="5" t="str">
        <f>IF(hospital_patient_unclean_500__2[[#This Row],[Age]]&lt;18,"0-17",IF(hospital_patient_unclean_500__2[[#This Row],[Age]]&lt;36,"18-35",IF(hospital_patient_unclean_500__2[[#This Row],[Age]]&lt;51,"36-50",IF(hospital_patient_unclean_500__2[[#This Row],[Age]]&lt;66,"51-65","66+"))))</f>
        <v>66+</v>
      </c>
    </row>
    <row r="182" spans="1:16" x14ac:dyDescent="0.3">
      <c r="A182" s="5" t="s">
        <v>411</v>
      </c>
      <c r="B182" s="5" t="s">
        <v>412</v>
      </c>
      <c r="C182" s="6">
        <v>39</v>
      </c>
      <c r="D182" s="5" t="s">
        <v>17</v>
      </c>
      <c r="E182" s="5" t="s">
        <v>37</v>
      </c>
      <c r="F182" s="5" t="s">
        <v>132</v>
      </c>
      <c r="G182" s="5" t="s">
        <v>138</v>
      </c>
      <c r="H182" s="7">
        <v>45848</v>
      </c>
      <c r="I182" s="7">
        <v>45856</v>
      </c>
      <c r="J182" s="5" t="s">
        <v>173</v>
      </c>
      <c r="K182" s="5" t="s">
        <v>174</v>
      </c>
      <c r="L182" s="8">
        <v>72671.100000000006</v>
      </c>
      <c r="M182" s="5" t="s">
        <v>60</v>
      </c>
      <c r="N182" s="5" t="s">
        <v>61</v>
      </c>
      <c r="O182" s="5" t="s">
        <v>93</v>
      </c>
      <c r="P182" s="5" t="str">
        <f>IF(hospital_patient_unclean_500__2[[#This Row],[Age]]&lt;18,"0-17",IF(hospital_patient_unclean_500__2[[#This Row],[Age]]&lt;36,"18-35",IF(hospital_patient_unclean_500__2[[#This Row],[Age]]&lt;51,"36-50",IF(hospital_patient_unclean_500__2[[#This Row],[Age]]&lt;66,"51-65","66+"))))</f>
        <v>36-50</v>
      </c>
    </row>
    <row r="183" spans="1:16" x14ac:dyDescent="0.3">
      <c r="A183" s="5" t="s">
        <v>413</v>
      </c>
      <c r="B183" s="5" t="s">
        <v>240</v>
      </c>
      <c r="C183" s="6">
        <v>76</v>
      </c>
      <c r="D183" s="5" t="s">
        <v>51</v>
      </c>
      <c r="E183" s="5" t="s">
        <v>111</v>
      </c>
      <c r="F183" s="5" t="s">
        <v>132</v>
      </c>
      <c r="G183" s="5" t="s">
        <v>138</v>
      </c>
      <c r="H183" s="7">
        <v>45887</v>
      </c>
      <c r="I183" s="7">
        <v>45896</v>
      </c>
      <c r="J183" s="5" t="s">
        <v>147</v>
      </c>
      <c r="K183" s="5" t="s">
        <v>148</v>
      </c>
      <c r="L183" s="8">
        <v>337302.75</v>
      </c>
      <c r="M183" s="5" t="s">
        <v>32</v>
      </c>
      <c r="N183" s="5" t="s">
        <v>48</v>
      </c>
      <c r="O183" s="5" t="s">
        <v>41</v>
      </c>
      <c r="P183" s="5" t="str">
        <f>IF(hospital_patient_unclean_500__2[[#This Row],[Age]]&lt;18,"0-17",IF(hospital_patient_unclean_500__2[[#This Row],[Age]]&lt;36,"18-35",IF(hospital_patient_unclean_500__2[[#This Row],[Age]]&lt;51,"36-50",IF(hospital_patient_unclean_500__2[[#This Row],[Age]]&lt;66,"51-65","66+"))))</f>
        <v>66+</v>
      </c>
    </row>
    <row r="184" spans="1:16" x14ac:dyDescent="0.3">
      <c r="A184" s="5" t="s">
        <v>414</v>
      </c>
      <c r="B184" s="5" t="s">
        <v>415</v>
      </c>
      <c r="C184" s="6">
        <v>88</v>
      </c>
      <c r="D184" s="5" t="s">
        <v>51</v>
      </c>
      <c r="E184" s="5" t="s">
        <v>52</v>
      </c>
      <c r="F184" s="5" t="s">
        <v>87</v>
      </c>
      <c r="G184" s="5" t="s">
        <v>88</v>
      </c>
      <c r="H184" s="7">
        <v>45925</v>
      </c>
      <c r="I184" s="7">
        <v>45936</v>
      </c>
      <c r="J184" s="5" t="s">
        <v>216</v>
      </c>
      <c r="K184" s="5" t="s">
        <v>839</v>
      </c>
      <c r="L184" s="8">
        <v>335905.47</v>
      </c>
      <c r="M184" s="5" t="s">
        <v>819</v>
      </c>
      <c r="N184" s="5" t="s">
        <v>33</v>
      </c>
      <c r="O184" s="5" t="s">
        <v>93</v>
      </c>
      <c r="P184" s="5" t="str">
        <f>IF(hospital_patient_unclean_500__2[[#This Row],[Age]]&lt;18,"0-17",IF(hospital_patient_unclean_500__2[[#This Row],[Age]]&lt;36,"18-35",IF(hospital_patient_unclean_500__2[[#This Row],[Age]]&lt;51,"36-50",IF(hospital_patient_unclean_500__2[[#This Row],[Age]]&lt;66,"51-65","66+"))))</f>
        <v>66+</v>
      </c>
    </row>
    <row r="185" spans="1:16" x14ac:dyDescent="0.3">
      <c r="A185" s="5" t="s">
        <v>848</v>
      </c>
      <c r="B185" s="5" t="s">
        <v>372</v>
      </c>
      <c r="C185" s="6">
        <v>12</v>
      </c>
      <c r="D185" s="5" t="s">
        <v>17</v>
      </c>
      <c r="E185" s="5" t="s">
        <v>43</v>
      </c>
      <c r="F185" s="5" t="s">
        <v>38</v>
      </c>
      <c r="G185" s="5" t="s">
        <v>125</v>
      </c>
      <c r="H185" s="7">
        <v>45832</v>
      </c>
      <c r="I185" s="7">
        <v>45957</v>
      </c>
      <c r="J185" s="5" t="s">
        <v>828</v>
      </c>
      <c r="K185" s="5" t="s">
        <v>39</v>
      </c>
      <c r="L185" s="8">
        <v>340229.7</v>
      </c>
      <c r="M185" s="5" t="s">
        <v>60</v>
      </c>
      <c r="N185" s="5" t="s">
        <v>24</v>
      </c>
      <c r="O185" s="5" t="s">
        <v>41</v>
      </c>
      <c r="P185" s="5" t="str">
        <f>IF(hospital_patient_unclean_500__2[[#This Row],[Age]]&lt;18,"0-17",IF(hospital_patient_unclean_500__2[[#This Row],[Age]]&lt;36,"18-35",IF(hospital_patient_unclean_500__2[[#This Row],[Age]]&lt;51,"36-50",IF(hospital_patient_unclean_500__2[[#This Row],[Age]]&lt;66,"51-65","66+"))))</f>
        <v>0-17</v>
      </c>
    </row>
    <row r="186" spans="1:16" x14ac:dyDescent="0.3">
      <c r="A186" s="5" t="s">
        <v>416</v>
      </c>
      <c r="B186" s="5" t="s">
        <v>417</v>
      </c>
      <c r="C186" s="6">
        <v>41</v>
      </c>
      <c r="D186" s="5" t="s">
        <v>17</v>
      </c>
      <c r="E186" s="5" t="s">
        <v>64</v>
      </c>
      <c r="F186" s="5" t="s">
        <v>132</v>
      </c>
      <c r="G186" s="5" t="s">
        <v>223</v>
      </c>
      <c r="H186" s="7">
        <v>45782</v>
      </c>
      <c r="I186" s="7">
        <v>45977</v>
      </c>
      <c r="J186" s="5" t="s">
        <v>139</v>
      </c>
      <c r="K186" s="5" t="s">
        <v>140</v>
      </c>
      <c r="L186" s="8">
        <v>0</v>
      </c>
      <c r="M186" s="5" t="s">
        <v>32</v>
      </c>
      <c r="N186" s="5" t="s">
        <v>61</v>
      </c>
      <c r="O186" s="5" t="s">
        <v>93</v>
      </c>
      <c r="P186" s="5" t="str">
        <f>IF(hospital_patient_unclean_500__2[[#This Row],[Age]]&lt;18,"0-17",IF(hospital_patient_unclean_500__2[[#This Row],[Age]]&lt;36,"18-35",IF(hospital_patient_unclean_500__2[[#This Row],[Age]]&lt;51,"36-50",IF(hospital_patient_unclean_500__2[[#This Row],[Age]]&lt;66,"51-65","66+"))))</f>
        <v>36-50</v>
      </c>
    </row>
    <row r="187" spans="1:16" x14ac:dyDescent="0.3">
      <c r="A187" s="5" t="s">
        <v>418</v>
      </c>
      <c r="B187" s="5" t="s">
        <v>395</v>
      </c>
      <c r="C187" s="6">
        <v>14</v>
      </c>
      <c r="D187" s="5" t="s">
        <v>51</v>
      </c>
      <c r="E187" s="5" t="s">
        <v>43</v>
      </c>
      <c r="F187" s="5" t="s">
        <v>819</v>
      </c>
      <c r="G187" s="5" t="s">
        <v>54</v>
      </c>
      <c r="H187" s="7">
        <v>45732</v>
      </c>
      <c r="I187" s="7">
        <v>45743</v>
      </c>
      <c r="J187" s="5" t="s">
        <v>200</v>
      </c>
      <c r="K187" s="5" t="s">
        <v>201</v>
      </c>
      <c r="L187" s="8">
        <v>229677.72</v>
      </c>
      <c r="M187" s="5" t="s">
        <v>47</v>
      </c>
      <c r="N187" s="5" t="s">
        <v>61</v>
      </c>
      <c r="O187" s="5" t="s">
        <v>820</v>
      </c>
      <c r="P187" s="5" t="str">
        <f>IF(hospital_patient_unclean_500__2[[#This Row],[Age]]&lt;18,"0-17",IF(hospital_patient_unclean_500__2[[#This Row],[Age]]&lt;36,"18-35",IF(hospital_patient_unclean_500__2[[#This Row],[Age]]&lt;51,"36-50",IF(hospital_patient_unclean_500__2[[#This Row],[Age]]&lt;66,"51-65","66+"))))</f>
        <v>0-17</v>
      </c>
    </row>
    <row r="188" spans="1:16" x14ac:dyDescent="0.3">
      <c r="A188" s="5" t="s">
        <v>419</v>
      </c>
      <c r="B188" s="5" t="s">
        <v>420</v>
      </c>
      <c r="C188" s="6">
        <v>85</v>
      </c>
      <c r="D188" s="5" t="s">
        <v>51</v>
      </c>
      <c r="E188" s="5" t="s">
        <v>43</v>
      </c>
      <c r="F188" s="5" t="s">
        <v>19</v>
      </c>
      <c r="G188" s="5" t="s">
        <v>20</v>
      </c>
      <c r="H188" s="7">
        <v>45921</v>
      </c>
      <c r="I188" s="7">
        <v>45936</v>
      </c>
      <c r="J188" s="5" t="s">
        <v>180</v>
      </c>
      <c r="K188" s="5" t="s">
        <v>181</v>
      </c>
      <c r="L188" s="8">
        <v>337085.85</v>
      </c>
      <c r="M188" s="5" t="s">
        <v>40</v>
      </c>
      <c r="N188" s="5" t="s">
        <v>61</v>
      </c>
      <c r="O188" s="5" t="s">
        <v>34</v>
      </c>
      <c r="P188" s="5" t="str">
        <f>IF(hospital_patient_unclean_500__2[[#This Row],[Age]]&lt;18,"0-17",IF(hospital_patient_unclean_500__2[[#This Row],[Age]]&lt;36,"18-35",IF(hospital_patient_unclean_500__2[[#This Row],[Age]]&lt;51,"36-50",IF(hospital_patient_unclean_500__2[[#This Row],[Age]]&lt;66,"51-65","66+"))))</f>
        <v>66+</v>
      </c>
    </row>
    <row r="189" spans="1:16" x14ac:dyDescent="0.3">
      <c r="A189" s="5" t="s">
        <v>421</v>
      </c>
      <c r="B189" s="5" t="s">
        <v>422</v>
      </c>
      <c r="C189" s="6">
        <v>81</v>
      </c>
      <c r="D189" s="5" t="s">
        <v>17</v>
      </c>
      <c r="E189" s="5" t="s">
        <v>64</v>
      </c>
      <c r="F189" s="5" t="s">
        <v>53</v>
      </c>
      <c r="G189" s="5" t="s">
        <v>69</v>
      </c>
      <c r="H189" s="7">
        <v>45895</v>
      </c>
      <c r="I189" s="7">
        <v>45907</v>
      </c>
      <c r="J189" s="5" t="s">
        <v>200</v>
      </c>
      <c r="K189" s="5" t="s">
        <v>201</v>
      </c>
      <c r="L189" s="8">
        <v>113281.4</v>
      </c>
      <c r="M189" s="5" t="s">
        <v>60</v>
      </c>
      <c r="N189" s="5" t="s">
        <v>65</v>
      </c>
      <c r="O189" s="5" t="s">
        <v>34</v>
      </c>
      <c r="P189" s="5" t="str">
        <f>IF(hospital_patient_unclean_500__2[[#This Row],[Age]]&lt;18,"0-17",IF(hospital_patient_unclean_500__2[[#This Row],[Age]]&lt;36,"18-35",IF(hospital_patient_unclean_500__2[[#This Row],[Age]]&lt;51,"36-50",IF(hospital_patient_unclean_500__2[[#This Row],[Age]]&lt;66,"51-65","66+"))))</f>
        <v>66+</v>
      </c>
    </row>
    <row r="190" spans="1:16" x14ac:dyDescent="0.3">
      <c r="A190" s="5" t="s">
        <v>423</v>
      </c>
      <c r="B190" s="5" t="s">
        <v>356</v>
      </c>
      <c r="C190" s="6">
        <v>80</v>
      </c>
      <c r="D190" s="5" t="s">
        <v>51</v>
      </c>
      <c r="E190" s="5" t="s">
        <v>68</v>
      </c>
      <c r="F190" s="5" t="s">
        <v>87</v>
      </c>
      <c r="G190" s="5" t="s">
        <v>324</v>
      </c>
      <c r="H190" s="7">
        <v>45698</v>
      </c>
      <c r="I190" s="7">
        <v>45711</v>
      </c>
      <c r="J190" s="5" t="s">
        <v>89</v>
      </c>
      <c r="K190" s="5" t="s">
        <v>819</v>
      </c>
      <c r="L190" s="8">
        <v>165897.26999999999</v>
      </c>
      <c r="M190" s="5" t="s">
        <v>99</v>
      </c>
      <c r="N190" s="5" t="s">
        <v>61</v>
      </c>
      <c r="O190" s="5" t="s">
        <v>93</v>
      </c>
      <c r="P190" s="5" t="str">
        <f>IF(hospital_patient_unclean_500__2[[#This Row],[Age]]&lt;18,"0-17",IF(hospital_patient_unclean_500__2[[#This Row],[Age]]&lt;36,"18-35",IF(hospital_patient_unclean_500__2[[#This Row],[Age]]&lt;51,"36-50",IF(hospital_patient_unclean_500__2[[#This Row],[Age]]&lt;66,"51-65","66+"))))</f>
        <v>66+</v>
      </c>
    </row>
    <row r="191" spans="1:16" x14ac:dyDescent="0.3">
      <c r="A191" s="5" t="s">
        <v>424</v>
      </c>
      <c r="B191" s="5" t="s">
        <v>425</v>
      </c>
      <c r="C191" s="6">
        <v>18</v>
      </c>
      <c r="D191" s="5" t="s">
        <v>51</v>
      </c>
      <c r="E191" s="5" t="s">
        <v>64</v>
      </c>
      <c r="F191" s="5" t="s">
        <v>87</v>
      </c>
      <c r="G191" s="5" t="s">
        <v>112</v>
      </c>
      <c r="H191" s="7">
        <v>45889</v>
      </c>
      <c r="I191" s="7">
        <v>45900</v>
      </c>
      <c r="J191" s="5" t="s">
        <v>89</v>
      </c>
      <c r="K191" s="5" t="s">
        <v>92</v>
      </c>
      <c r="L191" s="8">
        <v>339408.59</v>
      </c>
      <c r="M191" s="5" t="s">
        <v>32</v>
      </c>
      <c r="N191" s="5" t="s">
        <v>65</v>
      </c>
      <c r="O191" s="5" t="s">
        <v>34</v>
      </c>
      <c r="P191" s="5" t="str">
        <f>IF(hospital_patient_unclean_500__2[[#This Row],[Age]]&lt;18,"0-17",IF(hospital_patient_unclean_500__2[[#This Row],[Age]]&lt;36,"18-35",IF(hospital_patient_unclean_500__2[[#This Row],[Age]]&lt;51,"36-50",IF(hospital_patient_unclean_500__2[[#This Row],[Age]]&lt;66,"51-65","66+"))))</f>
        <v>18-35</v>
      </c>
    </row>
    <row r="192" spans="1:16" x14ac:dyDescent="0.3">
      <c r="A192" s="5" t="s">
        <v>426</v>
      </c>
      <c r="B192" s="5" t="s">
        <v>186</v>
      </c>
      <c r="C192" s="6">
        <v>17</v>
      </c>
      <c r="D192" s="5" t="s">
        <v>17</v>
      </c>
      <c r="E192" s="5" t="s">
        <v>64</v>
      </c>
      <c r="F192" s="5" t="s">
        <v>132</v>
      </c>
      <c r="G192" s="5" t="s">
        <v>138</v>
      </c>
      <c r="H192" s="7">
        <v>45945</v>
      </c>
      <c r="I192" s="7">
        <v>45949</v>
      </c>
      <c r="J192" s="5" t="s">
        <v>819</v>
      </c>
      <c r="K192" s="5" t="s">
        <v>140</v>
      </c>
      <c r="L192" s="8">
        <v>90858.79</v>
      </c>
      <c r="M192" s="5" t="s">
        <v>47</v>
      </c>
      <c r="N192" s="5" t="s">
        <v>48</v>
      </c>
      <c r="O192" s="5" t="s">
        <v>34</v>
      </c>
      <c r="P192" s="5" t="str">
        <f>IF(hospital_patient_unclean_500__2[[#This Row],[Age]]&lt;18,"0-17",IF(hospital_patient_unclean_500__2[[#This Row],[Age]]&lt;36,"18-35",IF(hospital_patient_unclean_500__2[[#This Row],[Age]]&lt;51,"36-50",IF(hospital_patient_unclean_500__2[[#This Row],[Age]]&lt;66,"51-65","66+"))))</f>
        <v>0-17</v>
      </c>
    </row>
    <row r="193" spans="1:16" x14ac:dyDescent="0.3">
      <c r="A193" s="5" t="s">
        <v>427</v>
      </c>
      <c r="B193" s="5" t="s">
        <v>428</v>
      </c>
      <c r="C193" s="6">
        <v>42</v>
      </c>
      <c r="D193" s="5" t="s">
        <v>51</v>
      </c>
      <c r="E193" s="5" t="s">
        <v>111</v>
      </c>
      <c r="F193" s="5" t="s">
        <v>44</v>
      </c>
      <c r="G193" s="5" t="s">
        <v>45</v>
      </c>
      <c r="H193" s="7">
        <v>45942</v>
      </c>
      <c r="I193" s="7">
        <v>45942</v>
      </c>
      <c r="J193" s="5" t="s">
        <v>244</v>
      </c>
      <c r="K193" s="5" t="s">
        <v>280</v>
      </c>
      <c r="L193" s="8">
        <v>310615.59999999998</v>
      </c>
      <c r="M193" s="5" t="s">
        <v>72</v>
      </c>
      <c r="N193" s="5" t="s">
        <v>48</v>
      </c>
      <c r="O193" s="5" t="s">
        <v>34</v>
      </c>
      <c r="P193" s="5" t="str">
        <f>IF(hospital_patient_unclean_500__2[[#This Row],[Age]]&lt;18,"0-17",IF(hospital_patient_unclean_500__2[[#This Row],[Age]]&lt;36,"18-35",IF(hospital_patient_unclean_500__2[[#This Row],[Age]]&lt;51,"36-50",IF(hospital_patient_unclean_500__2[[#This Row],[Age]]&lt;66,"51-65","66+"))))</f>
        <v>36-50</v>
      </c>
    </row>
    <row r="194" spans="1:16" x14ac:dyDescent="0.3">
      <c r="A194" s="5" t="s">
        <v>429</v>
      </c>
      <c r="B194" s="5" t="s">
        <v>430</v>
      </c>
      <c r="C194" s="6">
        <v>22</v>
      </c>
      <c r="D194" s="5" t="s">
        <v>17</v>
      </c>
      <c r="E194" s="5" t="s">
        <v>124</v>
      </c>
      <c r="F194" s="5" t="s">
        <v>38</v>
      </c>
      <c r="G194" s="5" t="s">
        <v>79</v>
      </c>
      <c r="H194" s="7">
        <v>45938</v>
      </c>
      <c r="I194" s="7">
        <v>45952</v>
      </c>
      <c r="J194" s="5" t="s">
        <v>184</v>
      </c>
      <c r="K194" s="5" t="s">
        <v>59</v>
      </c>
      <c r="L194" s="8">
        <v>348616.66</v>
      </c>
      <c r="M194" s="5" t="s">
        <v>23</v>
      </c>
      <c r="N194" s="5" t="s">
        <v>48</v>
      </c>
      <c r="O194" s="5" t="s">
        <v>34</v>
      </c>
      <c r="P194" s="5" t="str">
        <f>IF(hospital_patient_unclean_500__2[[#This Row],[Age]]&lt;18,"0-17",IF(hospital_patient_unclean_500__2[[#This Row],[Age]]&lt;36,"18-35",IF(hospital_patient_unclean_500__2[[#This Row],[Age]]&lt;51,"36-50",IF(hospital_patient_unclean_500__2[[#This Row],[Age]]&lt;66,"51-65","66+"))))</f>
        <v>18-35</v>
      </c>
    </row>
    <row r="195" spans="1:16" x14ac:dyDescent="0.3">
      <c r="A195" s="5" t="s">
        <v>431</v>
      </c>
      <c r="B195" s="5" t="s">
        <v>432</v>
      </c>
      <c r="C195" s="6">
        <v>32</v>
      </c>
      <c r="D195" s="5" t="s">
        <v>17</v>
      </c>
      <c r="E195" s="5" t="s">
        <v>18</v>
      </c>
      <c r="F195" s="5" t="s">
        <v>132</v>
      </c>
      <c r="G195" s="5" t="s">
        <v>223</v>
      </c>
      <c r="H195" s="7">
        <v>45682</v>
      </c>
      <c r="I195" s="7">
        <v>45688</v>
      </c>
      <c r="J195" s="5" t="s">
        <v>173</v>
      </c>
      <c r="K195" s="5" t="s">
        <v>174</v>
      </c>
      <c r="L195" s="8">
        <v>262925.28000000003</v>
      </c>
      <c r="M195" s="5" t="s">
        <v>40</v>
      </c>
      <c r="N195" s="5" t="s">
        <v>24</v>
      </c>
      <c r="O195" s="5" t="s">
        <v>93</v>
      </c>
      <c r="P195" s="5" t="str">
        <f>IF(hospital_patient_unclean_500__2[[#This Row],[Age]]&lt;18,"0-17",IF(hospital_patient_unclean_500__2[[#This Row],[Age]]&lt;36,"18-35",IF(hospital_patient_unclean_500__2[[#This Row],[Age]]&lt;51,"36-50",IF(hospital_patient_unclean_500__2[[#This Row],[Age]]&lt;66,"51-65","66+"))))</f>
        <v>18-35</v>
      </c>
    </row>
    <row r="196" spans="1:16" x14ac:dyDescent="0.3">
      <c r="A196" s="5" t="s">
        <v>433</v>
      </c>
      <c r="B196" s="5" t="s">
        <v>434</v>
      </c>
      <c r="C196" s="6">
        <v>2</v>
      </c>
      <c r="D196" s="5" t="s">
        <v>17</v>
      </c>
      <c r="E196" s="5" t="s">
        <v>124</v>
      </c>
      <c r="F196" s="5" t="s">
        <v>132</v>
      </c>
      <c r="G196" s="5" t="s">
        <v>138</v>
      </c>
      <c r="H196" s="7">
        <v>46000</v>
      </c>
      <c r="I196" s="7">
        <v>46015</v>
      </c>
      <c r="J196" s="5" t="s">
        <v>173</v>
      </c>
      <c r="K196" s="5" t="s">
        <v>174</v>
      </c>
      <c r="L196" s="8">
        <v>107724.71</v>
      </c>
      <c r="M196" s="5" t="s">
        <v>99</v>
      </c>
      <c r="N196" s="5" t="s">
        <v>48</v>
      </c>
      <c r="O196" s="5" t="s">
        <v>93</v>
      </c>
      <c r="P196" s="5" t="str">
        <f>IF(hospital_patient_unclean_500__2[[#This Row],[Age]]&lt;18,"0-17",IF(hospital_patient_unclean_500__2[[#This Row],[Age]]&lt;36,"18-35",IF(hospital_patient_unclean_500__2[[#This Row],[Age]]&lt;51,"36-50",IF(hospital_patient_unclean_500__2[[#This Row],[Age]]&lt;66,"51-65","66+"))))</f>
        <v>0-17</v>
      </c>
    </row>
    <row r="197" spans="1:16" x14ac:dyDescent="0.3">
      <c r="A197" s="5" t="s">
        <v>435</v>
      </c>
      <c r="B197" s="5" t="s">
        <v>436</v>
      </c>
      <c r="C197" s="6">
        <v>50</v>
      </c>
      <c r="D197" s="5" t="s">
        <v>17</v>
      </c>
      <c r="E197" s="5" t="s">
        <v>18</v>
      </c>
      <c r="F197" s="5" t="s">
        <v>44</v>
      </c>
      <c r="G197" s="5" t="s">
        <v>153</v>
      </c>
      <c r="H197" s="7">
        <v>45700</v>
      </c>
      <c r="I197" s="7">
        <v>45701</v>
      </c>
      <c r="J197" s="5" t="s">
        <v>232</v>
      </c>
      <c r="K197" s="5" t="s">
        <v>160</v>
      </c>
      <c r="L197" s="8">
        <v>272521.56</v>
      </c>
      <c r="M197" s="5" t="s">
        <v>47</v>
      </c>
      <c r="N197" s="5" t="s">
        <v>24</v>
      </c>
      <c r="O197" s="5" t="s">
        <v>93</v>
      </c>
      <c r="P197" s="5" t="str">
        <f>IF(hospital_patient_unclean_500__2[[#This Row],[Age]]&lt;18,"0-17",IF(hospital_patient_unclean_500__2[[#This Row],[Age]]&lt;36,"18-35",IF(hospital_patient_unclean_500__2[[#This Row],[Age]]&lt;51,"36-50",IF(hospital_patient_unclean_500__2[[#This Row],[Age]]&lt;66,"51-65","66+"))))</f>
        <v>36-50</v>
      </c>
    </row>
    <row r="198" spans="1:16" x14ac:dyDescent="0.3">
      <c r="A198" s="5" t="s">
        <v>437</v>
      </c>
      <c r="B198" s="5" t="s">
        <v>438</v>
      </c>
      <c r="C198" s="6">
        <v>62</v>
      </c>
      <c r="D198" s="5" t="s">
        <v>17</v>
      </c>
      <c r="E198" s="5" t="s">
        <v>52</v>
      </c>
      <c r="F198" s="5" t="s">
        <v>819</v>
      </c>
      <c r="G198" s="5" t="s">
        <v>79</v>
      </c>
      <c r="H198" s="7">
        <v>45659</v>
      </c>
      <c r="I198" s="7">
        <v>45670</v>
      </c>
      <c r="J198" s="5" t="s">
        <v>80</v>
      </c>
      <c r="K198" s="5" t="s">
        <v>819</v>
      </c>
      <c r="L198" s="8">
        <v>88182.91</v>
      </c>
      <c r="M198" s="5" t="s">
        <v>72</v>
      </c>
      <c r="N198" s="5" t="s">
        <v>61</v>
      </c>
      <c r="O198" s="5" t="s">
        <v>34</v>
      </c>
      <c r="P198" s="5" t="str">
        <f>IF(hospital_patient_unclean_500__2[[#This Row],[Age]]&lt;18,"0-17",IF(hospital_patient_unclean_500__2[[#This Row],[Age]]&lt;36,"18-35",IF(hospital_patient_unclean_500__2[[#This Row],[Age]]&lt;51,"36-50",IF(hospital_patient_unclean_500__2[[#This Row],[Age]]&lt;66,"51-65","66+"))))</f>
        <v>51-65</v>
      </c>
    </row>
    <row r="199" spans="1:16" x14ac:dyDescent="0.3">
      <c r="A199" s="5" t="s">
        <v>439</v>
      </c>
      <c r="B199" s="5" t="s">
        <v>412</v>
      </c>
      <c r="C199" s="6">
        <v>72</v>
      </c>
      <c r="D199" s="5" t="s">
        <v>819</v>
      </c>
      <c r="E199" s="5" t="s">
        <v>18</v>
      </c>
      <c r="F199" s="5" t="s">
        <v>28</v>
      </c>
      <c r="G199" s="5" t="s">
        <v>29</v>
      </c>
      <c r="H199" s="7">
        <v>45773</v>
      </c>
      <c r="I199" s="7">
        <v>45786</v>
      </c>
      <c r="J199" s="5" t="s">
        <v>30</v>
      </c>
      <c r="K199" s="5" t="s">
        <v>31</v>
      </c>
      <c r="L199" s="8">
        <v>184325.88</v>
      </c>
      <c r="M199" s="5" t="s">
        <v>40</v>
      </c>
      <c r="N199" s="5" t="s">
        <v>48</v>
      </c>
      <c r="O199" s="5" t="s">
        <v>41</v>
      </c>
      <c r="P199" s="5" t="str">
        <f>IF(hospital_patient_unclean_500__2[[#This Row],[Age]]&lt;18,"0-17",IF(hospital_patient_unclean_500__2[[#This Row],[Age]]&lt;36,"18-35",IF(hospital_patient_unclean_500__2[[#This Row],[Age]]&lt;51,"36-50",IF(hospital_patient_unclean_500__2[[#This Row],[Age]]&lt;66,"51-65","66+"))))</f>
        <v>66+</v>
      </c>
    </row>
    <row r="200" spans="1:16" x14ac:dyDescent="0.3">
      <c r="A200" s="5" t="s">
        <v>440</v>
      </c>
      <c r="B200" s="5" t="s">
        <v>441</v>
      </c>
      <c r="C200" s="6">
        <v>44</v>
      </c>
      <c r="D200" s="5" t="s">
        <v>17</v>
      </c>
      <c r="E200" s="5" t="s">
        <v>68</v>
      </c>
      <c r="F200" s="5" t="s">
        <v>19</v>
      </c>
      <c r="G200" s="5" t="s">
        <v>158</v>
      </c>
      <c r="H200" s="7">
        <v>45860</v>
      </c>
      <c r="I200" s="7">
        <v>45867</v>
      </c>
      <c r="J200" s="5" t="s">
        <v>21</v>
      </c>
      <c r="K200" s="5" t="s">
        <v>22</v>
      </c>
      <c r="L200" s="8">
        <v>88203.79</v>
      </c>
      <c r="M200" s="5" t="s">
        <v>32</v>
      </c>
      <c r="N200" s="5" t="s">
        <v>33</v>
      </c>
      <c r="O200" s="5" t="s">
        <v>25</v>
      </c>
      <c r="P200" s="5" t="str">
        <f>IF(hospital_patient_unclean_500__2[[#This Row],[Age]]&lt;18,"0-17",IF(hospital_patient_unclean_500__2[[#This Row],[Age]]&lt;36,"18-35",IF(hospital_patient_unclean_500__2[[#This Row],[Age]]&lt;51,"36-50",IF(hospital_patient_unclean_500__2[[#This Row],[Age]]&lt;66,"51-65","66+"))))</f>
        <v>36-50</v>
      </c>
    </row>
    <row r="201" spans="1:16" x14ac:dyDescent="0.3">
      <c r="A201" s="5" t="s">
        <v>442</v>
      </c>
      <c r="B201" s="5" t="s">
        <v>150</v>
      </c>
      <c r="C201" s="6">
        <v>71</v>
      </c>
      <c r="D201" s="5" t="s">
        <v>51</v>
      </c>
      <c r="E201" s="5" t="s">
        <v>68</v>
      </c>
      <c r="F201" s="5" t="s">
        <v>819</v>
      </c>
      <c r="G201" s="5" t="s">
        <v>45</v>
      </c>
      <c r="H201" s="7">
        <v>45839</v>
      </c>
      <c r="I201" s="7">
        <v>45857</v>
      </c>
      <c r="J201" s="5" t="s">
        <v>244</v>
      </c>
      <c r="K201" s="5" t="s">
        <v>280</v>
      </c>
      <c r="L201" s="8">
        <v>330817.42</v>
      </c>
      <c r="M201" s="5" t="s">
        <v>819</v>
      </c>
      <c r="N201" s="5" t="s">
        <v>24</v>
      </c>
      <c r="O201" s="5" t="s">
        <v>25</v>
      </c>
      <c r="P201" s="5" t="str">
        <f>IF(hospital_patient_unclean_500__2[[#This Row],[Age]]&lt;18,"0-17",IF(hospital_patient_unclean_500__2[[#This Row],[Age]]&lt;36,"18-35",IF(hospital_patient_unclean_500__2[[#This Row],[Age]]&lt;51,"36-50",IF(hospital_patient_unclean_500__2[[#This Row],[Age]]&lt;66,"51-65","66+"))))</f>
        <v>66+</v>
      </c>
    </row>
    <row r="202" spans="1:16" x14ac:dyDescent="0.3">
      <c r="A202" s="5" t="s">
        <v>443</v>
      </c>
      <c r="B202" s="5" t="s">
        <v>444</v>
      </c>
      <c r="C202" s="6">
        <v>72</v>
      </c>
      <c r="D202" s="5" t="s">
        <v>51</v>
      </c>
      <c r="E202" s="5" t="s">
        <v>64</v>
      </c>
      <c r="F202" s="5" t="s">
        <v>132</v>
      </c>
      <c r="G202" s="5" t="s">
        <v>138</v>
      </c>
      <c r="H202" s="7">
        <v>45975</v>
      </c>
      <c r="I202" s="7">
        <v>45986</v>
      </c>
      <c r="J202" s="5" t="s">
        <v>173</v>
      </c>
      <c r="K202" s="5" t="s">
        <v>174</v>
      </c>
      <c r="L202" s="8">
        <v>0</v>
      </c>
      <c r="M202" s="5" t="s">
        <v>819</v>
      </c>
      <c r="N202" s="5" t="s">
        <v>48</v>
      </c>
      <c r="O202" s="5" t="s">
        <v>820</v>
      </c>
      <c r="P202" s="5" t="str">
        <f>IF(hospital_patient_unclean_500__2[[#This Row],[Age]]&lt;18,"0-17",IF(hospital_patient_unclean_500__2[[#This Row],[Age]]&lt;36,"18-35",IF(hospital_patient_unclean_500__2[[#This Row],[Age]]&lt;51,"36-50",IF(hospital_patient_unclean_500__2[[#This Row],[Age]]&lt;66,"51-65","66+"))))</f>
        <v>66+</v>
      </c>
    </row>
    <row r="203" spans="1:16" x14ac:dyDescent="0.3">
      <c r="A203" s="5" t="s">
        <v>445</v>
      </c>
      <c r="B203" s="5" t="s">
        <v>446</v>
      </c>
      <c r="C203" s="6">
        <v>79</v>
      </c>
      <c r="D203" s="5" t="s">
        <v>17</v>
      </c>
      <c r="E203" s="5" t="s">
        <v>86</v>
      </c>
      <c r="F203" s="5" t="s">
        <v>28</v>
      </c>
      <c r="G203" s="5" t="s">
        <v>101</v>
      </c>
      <c r="H203" s="7">
        <v>45829</v>
      </c>
      <c r="I203" s="7">
        <v>45838</v>
      </c>
      <c r="J203" s="5" t="s">
        <v>102</v>
      </c>
      <c r="K203" s="5" t="s">
        <v>103</v>
      </c>
      <c r="L203" s="8">
        <v>197461.9</v>
      </c>
      <c r="M203" s="5" t="s">
        <v>47</v>
      </c>
      <c r="N203" s="5" t="s">
        <v>33</v>
      </c>
      <c r="O203" s="5" t="s">
        <v>820</v>
      </c>
      <c r="P203" s="5" t="str">
        <f>IF(hospital_patient_unclean_500__2[[#This Row],[Age]]&lt;18,"0-17",IF(hospital_patient_unclean_500__2[[#This Row],[Age]]&lt;36,"18-35",IF(hospital_patient_unclean_500__2[[#This Row],[Age]]&lt;51,"36-50",IF(hospital_patient_unclean_500__2[[#This Row],[Age]]&lt;66,"51-65","66+"))))</f>
        <v>66+</v>
      </c>
    </row>
    <row r="204" spans="1:16" x14ac:dyDescent="0.3">
      <c r="A204" s="5" t="s">
        <v>447</v>
      </c>
      <c r="B204" s="5" t="s">
        <v>448</v>
      </c>
      <c r="C204" s="6">
        <v>0</v>
      </c>
      <c r="D204" s="5" t="s">
        <v>17</v>
      </c>
      <c r="E204" s="5" t="s">
        <v>37</v>
      </c>
      <c r="F204" s="5" t="s">
        <v>38</v>
      </c>
      <c r="G204" s="5" t="s">
        <v>79</v>
      </c>
      <c r="H204" s="7">
        <v>45777</v>
      </c>
      <c r="I204" s="7">
        <v>45878</v>
      </c>
      <c r="J204" s="5" t="s">
        <v>184</v>
      </c>
      <c r="K204" s="5" t="s">
        <v>59</v>
      </c>
      <c r="L204" s="8">
        <v>94965.17</v>
      </c>
      <c r="M204" s="5" t="s">
        <v>32</v>
      </c>
      <c r="N204" s="5" t="s">
        <v>48</v>
      </c>
      <c r="O204" s="5" t="s">
        <v>41</v>
      </c>
      <c r="P204" s="5" t="str">
        <f>IF(hospital_patient_unclean_500__2[[#This Row],[Age]]&lt;18,"0-17",IF(hospital_patient_unclean_500__2[[#This Row],[Age]]&lt;36,"18-35",IF(hospital_patient_unclean_500__2[[#This Row],[Age]]&lt;51,"36-50",IF(hospital_patient_unclean_500__2[[#This Row],[Age]]&lt;66,"51-65","66+"))))</f>
        <v>0-17</v>
      </c>
    </row>
    <row r="205" spans="1:16" x14ac:dyDescent="0.3">
      <c r="A205" s="5" t="s">
        <v>449</v>
      </c>
      <c r="B205" s="5" t="s">
        <v>412</v>
      </c>
      <c r="C205" s="6">
        <v>18</v>
      </c>
      <c r="D205" s="5" t="s">
        <v>17</v>
      </c>
      <c r="E205" s="5" t="s">
        <v>52</v>
      </c>
      <c r="F205" s="5" t="s">
        <v>28</v>
      </c>
      <c r="G205" s="5" t="s">
        <v>195</v>
      </c>
      <c r="H205" s="7">
        <v>45901</v>
      </c>
      <c r="I205" s="7">
        <v>45918</v>
      </c>
      <c r="J205" s="5" t="s">
        <v>30</v>
      </c>
      <c r="K205" s="5" t="s">
        <v>31</v>
      </c>
      <c r="L205" s="8">
        <v>266670.65000000002</v>
      </c>
      <c r="M205" s="5" t="s">
        <v>32</v>
      </c>
      <c r="N205" s="5" t="s">
        <v>61</v>
      </c>
      <c r="O205" s="5" t="s">
        <v>820</v>
      </c>
      <c r="P205" s="5" t="str">
        <f>IF(hospital_patient_unclean_500__2[[#This Row],[Age]]&lt;18,"0-17",IF(hospital_patient_unclean_500__2[[#This Row],[Age]]&lt;36,"18-35",IF(hospital_patient_unclean_500__2[[#This Row],[Age]]&lt;51,"36-50",IF(hospital_patient_unclean_500__2[[#This Row],[Age]]&lt;66,"51-65","66+"))))</f>
        <v>18-35</v>
      </c>
    </row>
    <row r="206" spans="1:16" x14ac:dyDescent="0.3">
      <c r="A206" s="5" t="s">
        <v>450</v>
      </c>
      <c r="B206" s="5" t="s">
        <v>451</v>
      </c>
      <c r="C206" s="6">
        <v>27</v>
      </c>
      <c r="D206" s="5" t="s">
        <v>17</v>
      </c>
      <c r="E206" s="5" t="s">
        <v>37</v>
      </c>
      <c r="F206" s="5" t="s">
        <v>38</v>
      </c>
      <c r="G206" s="5" t="s">
        <v>819</v>
      </c>
      <c r="H206" s="7">
        <v>45826</v>
      </c>
      <c r="I206" s="7">
        <v>45968</v>
      </c>
      <c r="J206" s="5" t="s">
        <v>97</v>
      </c>
      <c r="K206" s="5" t="s">
        <v>98</v>
      </c>
      <c r="L206" s="8">
        <v>52142.03</v>
      </c>
      <c r="M206" s="5" t="s">
        <v>23</v>
      </c>
      <c r="N206" s="5" t="s">
        <v>65</v>
      </c>
      <c r="O206" s="5" t="s">
        <v>41</v>
      </c>
      <c r="P206" s="5" t="str">
        <f>IF(hospital_patient_unclean_500__2[[#This Row],[Age]]&lt;18,"0-17",IF(hospital_patient_unclean_500__2[[#This Row],[Age]]&lt;36,"18-35",IF(hospital_patient_unclean_500__2[[#This Row],[Age]]&lt;51,"36-50",IF(hospital_patient_unclean_500__2[[#This Row],[Age]]&lt;66,"51-65","66+"))))</f>
        <v>18-35</v>
      </c>
    </row>
    <row r="207" spans="1:16" x14ac:dyDescent="0.3">
      <c r="A207" s="5" t="s">
        <v>452</v>
      </c>
      <c r="B207" s="5" t="s">
        <v>453</v>
      </c>
      <c r="C207" s="6">
        <v>52</v>
      </c>
      <c r="D207" s="5" t="s">
        <v>51</v>
      </c>
      <c r="E207" s="5" t="s">
        <v>111</v>
      </c>
      <c r="F207" s="5" t="s">
        <v>87</v>
      </c>
      <c r="G207" s="5" t="s">
        <v>324</v>
      </c>
      <c r="H207" s="7">
        <v>45931</v>
      </c>
      <c r="I207" s="7">
        <v>45993</v>
      </c>
      <c r="J207" s="5" t="s">
        <v>216</v>
      </c>
      <c r="K207" s="5" t="s">
        <v>839</v>
      </c>
      <c r="L207" s="8">
        <v>101756.58</v>
      </c>
      <c r="M207" s="5" t="s">
        <v>32</v>
      </c>
      <c r="N207" s="5" t="s">
        <v>61</v>
      </c>
      <c r="O207" s="5" t="s">
        <v>41</v>
      </c>
      <c r="P207" s="5" t="str">
        <f>IF(hospital_patient_unclean_500__2[[#This Row],[Age]]&lt;18,"0-17",IF(hospital_patient_unclean_500__2[[#This Row],[Age]]&lt;36,"18-35",IF(hospital_patient_unclean_500__2[[#This Row],[Age]]&lt;51,"36-50",IF(hospital_patient_unclean_500__2[[#This Row],[Age]]&lt;66,"51-65","66+"))))</f>
        <v>51-65</v>
      </c>
    </row>
    <row r="208" spans="1:16" x14ac:dyDescent="0.3">
      <c r="A208" s="5" t="s">
        <v>454</v>
      </c>
      <c r="B208" s="5" t="s">
        <v>819</v>
      </c>
      <c r="C208" s="6">
        <v>49</v>
      </c>
      <c r="D208" s="5" t="s">
        <v>17</v>
      </c>
      <c r="E208" s="5" t="s">
        <v>52</v>
      </c>
      <c r="F208" s="5" t="s">
        <v>28</v>
      </c>
      <c r="G208" s="5" t="s">
        <v>29</v>
      </c>
      <c r="H208" s="7">
        <v>45826</v>
      </c>
      <c r="I208" s="7">
        <v>46005</v>
      </c>
      <c r="J208" s="5" t="s">
        <v>102</v>
      </c>
      <c r="K208" s="5" t="s">
        <v>103</v>
      </c>
      <c r="L208" s="8">
        <v>291401.61</v>
      </c>
      <c r="M208" s="5" t="s">
        <v>23</v>
      </c>
      <c r="N208" s="5" t="s">
        <v>33</v>
      </c>
      <c r="O208" s="5" t="s">
        <v>41</v>
      </c>
      <c r="P208" s="5" t="str">
        <f>IF(hospital_patient_unclean_500__2[[#This Row],[Age]]&lt;18,"0-17",IF(hospital_patient_unclean_500__2[[#This Row],[Age]]&lt;36,"18-35",IF(hospital_patient_unclean_500__2[[#This Row],[Age]]&lt;51,"36-50",IF(hospital_patient_unclean_500__2[[#This Row],[Age]]&lt;66,"51-65","66+"))))</f>
        <v>36-50</v>
      </c>
    </row>
    <row r="209" spans="1:16" x14ac:dyDescent="0.3">
      <c r="A209" s="5" t="s">
        <v>455</v>
      </c>
      <c r="B209" s="5" t="s">
        <v>456</v>
      </c>
      <c r="C209" s="6">
        <v>44</v>
      </c>
      <c r="D209" s="5" t="s">
        <v>51</v>
      </c>
      <c r="E209" s="5" t="s">
        <v>84</v>
      </c>
      <c r="F209" s="5" t="s">
        <v>28</v>
      </c>
      <c r="G209" s="5" t="s">
        <v>195</v>
      </c>
      <c r="H209" s="7">
        <v>46000</v>
      </c>
      <c r="I209" s="7">
        <v>46017</v>
      </c>
      <c r="J209" s="5" t="s">
        <v>189</v>
      </c>
      <c r="K209" s="5" t="s">
        <v>835</v>
      </c>
      <c r="L209" s="8">
        <v>41236.160000000003</v>
      </c>
      <c r="M209" s="5" t="s">
        <v>32</v>
      </c>
      <c r="N209" s="5" t="s">
        <v>24</v>
      </c>
      <c r="O209" s="5" t="s">
        <v>41</v>
      </c>
      <c r="P209" s="5" t="str">
        <f>IF(hospital_patient_unclean_500__2[[#This Row],[Age]]&lt;18,"0-17",IF(hospital_patient_unclean_500__2[[#This Row],[Age]]&lt;36,"18-35",IF(hospital_patient_unclean_500__2[[#This Row],[Age]]&lt;51,"36-50",IF(hospital_patient_unclean_500__2[[#This Row],[Age]]&lt;66,"51-65","66+"))))</f>
        <v>36-50</v>
      </c>
    </row>
    <row r="210" spans="1:16" x14ac:dyDescent="0.3">
      <c r="A210" s="5" t="s">
        <v>457</v>
      </c>
      <c r="B210" s="5" t="s">
        <v>110</v>
      </c>
      <c r="C210" s="6">
        <v>47</v>
      </c>
      <c r="D210" s="5" t="s">
        <v>51</v>
      </c>
      <c r="E210" s="5" t="s">
        <v>86</v>
      </c>
      <c r="F210" s="5" t="s">
        <v>53</v>
      </c>
      <c r="G210" s="5" t="s">
        <v>54</v>
      </c>
      <c r="H210" s="7">
        <v>45927</v>
      </c>
      <c r="I210" s="7">
        <v>45940</v>
      </c>
      <c r="J210" s="5" t="s">
        <v>55</v>
      </c>
      <c r="K210" s="5" t="s">
        <v>56</v>
      </c>
      <c r="L210" s="8">
        <v>224317.54</v>
      </c>
      <c r="M210" s="5" t="s">
        <v>32</v>
      </c>
      <c r="N210" s="5" t="s">
        <v>48</v>
      </c>
      <c r="O210" s="5" t="s">
        <v>25</v>
      </c>
      <c r="P210" s="5" t="str">
        <f>IF(hospital_patient_unclean_500__2[[#This Row],[Age]]&lt;18,"0-17",IF(hospital_patient_unclean_500__2[[#This Row],[Age]]&lt;36,"18-35",IF(hospital_patient_unclean_500__2[[#This Row],[Age]]&lt;51,"36-50",IF(hospital_patient_unclean_500__2[[#This Row],[Age]]&lt;66,"51-65","66+"))))</f>
        <v>36-50</v>
      </c>
    </row>
    <row r="211" spans="1:16" x14ac:dyDescent="0.3">
      <c r="A211" s="5" t="s">
        <v>458</v>
      </c>
      <c r="B211" s="5" t="s">
        <v>459</v>
      </c>
      <c r="C211" s="6">
        <v>81</v>
      </c>
      <c r="D211" s="5" t="s">
        <v>51</v>
      </c>
      <c r="E211" s="5" t="s">
        <v>37</v>
      </c>
      <c r="F211" s="5" t="s">
        <v>44</v>
      </c>
      <c r="G211" s="5" t="s">
        <v>153</v>
      </c>
      <c r="H211" s="7">
        <v>45861</v>
      </c>
      <c r="I211" s="7">
        <v>45873</v>
      </c>
      <c r="J211" s="5" t="s">
        <v>830</v>
      </c>
      <c r="K211" s="5" t="s">
        <v>46</v>
      </c>
      <c r="L211" s="8">
        <v>141814.6</v>
      </c>
      <c r="M211" s="5" t="s">
        <v>47</v>
      </c>
      <c r="N211" s="5" t="s">
        <v>65</v>
      </c>
      <c r="O211" s="5" t="s">
        <v>34</v>
      </c>
      <c r="P211" s="5" t="str">
        <f>IF(hospital_patient_unclean_500__2[[#This Row],[Age]]&lt;18,"0-17",IF(hospital_patient_unclean_500__2[[#This Row],[Age]]&lt;36,"18-35",IF(hospital_patient_unclean_500__2[[#This Row],[Age]]&lt;51,"36-50",IF(hospital_patient_unclean_500__2[[#This Row],[Age]]&lt;66,"51-65","66+"))))</f>
        <v>66+</v>
      </c>
    </row>
    <row r="212" spans="1:16" x14ac:dyDescent="0.3">
      <c r="A212" s="5" t="s">
        <v>849</v>
      </c>
      <c r="B212" s="5" t="s">
        <v>311</v>
      </c>
      <c r="C212" s="6">
        <v>87</v>
      </c>
      <c r="D212" s="5" t="s">
        <v>51</v>
      </c>
      <c r="E212" s="5" t="s">
        <v>68</v>
      </c>
      <c r="F212" s="5" t="s">
        <v>87</v>
      </c>
      <c r="G212" s="5" t="s">
        <v>324</v>
      </c>
      <c r="H212" s="7">
        <v>45675</v>
      </c>
      <c r="I212" s="7">
        <v>45682</v>
      </c>
      <c r="J212" s="5" t="s">
        <v>216</v>
      </c>
      <c r="K212" s="5" t="s">
        <v>839</v>
      </c>
      <c r="L212" s="8">
        <v>258112.74</v>
      </c>
      <c r="M212" s="5" t="s">
        <v>32</v>
      </c>
      <c r="N212" s="5" t="s">
        <v>61</v>
      </c>
      <c r="O212" s="5" t="s">
        <v>34</v>
      </c>
      <c r="P212" s="5" t="str">
        <f>IF(hospital_patient_unclean_500__2[[#This Row],[Age]]&lt;18,"0-17",IF(hospital_patient_unclean_500__2[[#This Row],[Age]]&lt;36,"18-35",IF(hospital_patient_unclean_500__2[[#This Row],[Age]]&lt;51,"36-50",IF(hospital_patient_unclean_500__2[[#This Row],[Age]]&lt;66,"51-65","66+"))))</f>
        <v>66+</v>
      </c>
    </row>
    <row r="213" spans="1:16" x14ac:dyDescent="0.3">
      <c r="A213" s="5" t="s">
        <v>460</v>
      </c>
      <c r="B213" s="5" t="s">
        <v>50</v>
      </c>
      <c r="C213" s="6">
        <v>16</v>
      </c>
      <c r="D213" s="5" t="s">
        <v>51</v>
      </c>
      <c r="E213" s="5" t="s">
        <v>37</v>
      </c>
      <c r="F213" s="5" t="s">
        <v>132</v>
      </c>
      <c r="G213" s="5" t="s">
        <v>133</v>
      </c>
      <c r="H213" s="7">
        <v>45962</v>
      </c>
      <c r="I213" s="7">
        <v>45962</v>
      </c>
      <c r="J213" s="5" t="s">
        <v>134</v>
      </c>
      <c r="K213" s="5" t="s">
        <v>135</v>
      </c>
      <c r="L213" s="8">
        <v>255614.72</v>
      </c>
      <c r="M213" s="5" t="s">
        <v>47</v>
      </c>
      <c r="N213" s="5" t="s">
        <v>65</v>
      </c>
      <c r="O213" s="5" t="s">
        <v>41</v>
      </c>
      <c r="P213" s="5" t="str">
        <f>IF(hospital_patient_unclean_500__2[[#This Row],[Age]]&lt;18,"0-17",IF(hospital_patient_unclean_500__2[[#This Row],[Age]]&lt;36,"18-35",IF(hospital_patient_unclean_500__2[[#This Row],[Age]]&lt;51,"36-50",IF(hospital_patient_unclean_500__2[[#This Row],[Age]]&lt;66,"51-65","66+"))))</f>
        <v>0-17</v>
      </c>
    </row>
    <row r="214" spans="1:16" x14ac:dyDescent="0.3">
      <c r="A214" s="5" t="s">
        <v>461</v>
      </c>
      <c r="B214" s="5" t="s">
        <v>462</v>
      </c>
      <c r="C214" s="6">
        <v>40</v>
      </c>
      <c r="D214" s="5" t="s">
        <v>819</v>
      </c>
      <c r="E214" s="5" t="s">
        <v>111</v>
      </c>
      <c r="F214" s="5" t="s">
        <v>53</v>
      </c>
      <c r="G214" s="5" t="s">
        <v>143</v>
      </c>
      <c r="H214" s="7">
        <v>45940</v>
      </c>
      <c r="I214" s="7">
        <v>45940</v>
      </c>
      <c r="J214" s="5" t="s">
        <v>200</v>
      </c>
      <c r="K214" s="5" t="s">
        <v>201</v>
      </c>
      <c r="L214" s="8">
        <v>317722.57</v>
      </c>
      <c r="M214" s="5" t="s">
        <v>47</v>
      </c>
      <c r="N214" s="5" t="s">
        <v>48</v>
      </c>
      <c r="O214" s="5" t="s">
        <v>41</v>
      </c>
      <c r="P214" s="5" t="str">
        <f>IF(hospital_patient_unclean_500__2[[#This Row],[Age]]&lt;18,"0-17",IF(hospital_patient_unclean_500__2[[#This Row],[Age]]&lt;36,"18-35",IF(hospital_patient_unclean_500__2[[#This Row],[Age]]&lt;51,"36-50",IF(hospital_patient_unclean_500__2[[#This Row],[Age]]&lt;66,"51-65","66+"))))</f>
        <v>36-50</v>
      </c>
    </row>
    <row r="215" spans="1:16" x14ac:dyDescent="0.3">
      <c r="A215" s="5" t="s">
        <v>463</v>
      </c>
      <c r="B215" s="5" t="s">
        <v>464</v>
      </c>
      <c r="C215" s="6">
        <v>70</v>
      </c>
      <c r="D215" s="5" t="s">
        <v>17</v>
      </c>
      <c r="E215" s="5" t="s">
        <v>84</v>
      </c>
      <c r="F215" s="5" t="s">
        <v>44</v>
      </c>
      <c r="G215" s="5" t="s">
        <v>153</v>
      </c>
      <c r="H215" s="7">
        <v>45668</v>
      </c>
      <c r="I215" s="7">
        <v>45672</v>
      </c>
      <c r="J215" s="5" t="s">
        <v>830</v>
      </c>
      <c r="K215" s="5" t="s">
        <v>46</v>
      </c>
      <c r="L215" s="8">
        <v>259754.43</v>
      </c>
      <c r="M215" s="5" t="s">
        <v>72</v>
      </c>
      <c r="N215" s="5" t="s">
        <v>48</v>
      </c>
      <c r="O215" s="5" t="s">
        <v>820</v>
      </c>
      <c r="P215" s="5" t="str">
        <f>IF(hospital_patient_unclean_500__2[[#This Row],[Age]]&lt;18,"0-17",IF(hospital_patient_unclean_500__2[[#This Row],[Age]]&lt;36,"18-35",IF(hospital_patient_unclean_500__2[[#This Row],[Age]]&lt;51,"36-50",IF(hospital_patient_unclean_500__2[[#This Row],[Age]]&lt;66,"51-65","66+"))))</f>
        <v>66+</v>
      </c>
    </row>
    <row r="216" spans="1:16" x14ac:dyDescent="0.3">
      <c r="A216" s="5" t="s">
        <v>465</v>
      </c>
      <c r="B216" s="5" t="s">
        <v>819</v>
      </c>
      <c r="C216" s="6">
        <v>29</v>
      </c>
      <c r="D216" s="5" t="s">
        <v>17</v>
      </c>
      <c r="E216" s="5" t="s">
        <v>64</v>
      </c>
      <c r="F216" s="5" t="s">
        <v>87</v>
      </c>
      <c r="G216" s="5" t="s">
        <v>112</v>
      </c>
      <c r="H216" s="7">
        <v>45751</v>
      </c>
      <c r="I216" s="7">
        <v>45754</v>
      </c>
      <c r="J216" s="5" t="s">
        <v>216</v>
      </c>
      <c r="K216" s="5" t="s">
        <v>839</v>
      </c>
      <c r="L216" s="8">
        <v>43156.46</v>
      </c>
      <c r="M216" s="5" t="s">
        <v>99</v>
      </c>
      <c r="N216" s="5" t="s">
        <v>33</v>
      </c>
      <c r="O216" s="5" t="s">
        <v>819</v>
      </c>
      <c r="P216" s="5" t="str">
        <f>IF(hospital_patient_unclean_500__2[[#This Row],[Age]]&lt;18,"0-17",IF(hospital_patient_unclean_500__2[[#This Row],[Age]]&lt;36,"18-35",IF(hospital_patient_unclean_500__2[[#This Row],[Age]]&lt;51,"36-50",IF(hospital_patient_unclean_500__2[[#This Row],[Age]]&lt;66,"51-65","66+"))))</f>
        <v>18-35</v>
      </c>
    </row>
    <row r="217" spans="1:16" x14ac:dyDescent="0.3">
      <c r="A217" s="5" t="s">
        <v>466</v>
      </c>
      <c r="B217" s="5" t="s">
        <v>467</v>
      </c>
      <c r="C217" s="6">
        <v>44</v>
      </c>
      <c r="D217" s="5" t="s">
        <v>51</v>
      </c>
      <c r="E217" s="5" t="s">
        <v>18</v>
      </c>
      <c r="F217" s="5" t="s">
        <v>28</v>
      </c>
      <c r="G217" s="5" t="s">
        <v>101</v>
      </c>
      <c r="H217" s="7">
        <v>45761</v>
      </c>
      <c r="I217" s="7">
        <v>45869</v>
      </c>
      <c r="J217" s="5" t="s">
        <v>30</v>
      </c>
      <c r="K217" s="5" t="s">
        <v>31</v>
      </c>
      <c r="L217" s="8">
        <v>8472.35</v>
      </c>
      <c r="M217" s="5" t="s">
        <v>23</v>
      </c>
      <c r="N217" s="5" t="s">
        <v>48</v>
      </c>
      <c r="O217" s="5" t="s">
        <v>41</v>
      </c>
      <c r="P217" s="5" t="str">
        <f>IF(hospital_patient_unclean_500__2[[#This Row],[Age]]&lt;18,"0-17",IF(hospital_patient_unclean_500__2[[#This Row],[Age]]&lt;36,"18-35",IF(hospital_patient_unclean_500__2[[#This Row],[Age]]&lt;51,"36-50",IF(hospital_patient_unclean_500__2[[#This Row],[Age]]&lt;66,"51-65","66+"))))</f>
        <v>36-50</v>
      </c>
    </row>
    <row r="218" spans="1:16" x14ac:dyDescent="0.3">
      <c r="A218" s="5" t="s">
        <v>468</v>
      </c>
      <c r="B218" s="5" t="s">
        <v>351</v>
      </c>
      <c r="C218" s="6">
        <v>6</v>
      </c>
      <c r="D218" s="5" t="s">
        <v>17</v>
      </c>
      <c r="E218" s="5" t="s">
        <v>52</v>
      </c>
      <c r="F218" s="5" t="s">
        <v>53</v>
      </c>
      <c r="G218" s="5" t="s">
        <v>143</v>
      </c>
      <c r="H218" s="7">
        <v>45972</v>
      </c>
      <c r="I218" s="7">
        <v>45984</v>
      </c>
      <c r="J218" s="5" t="s">
        <v>107</v>
      </c>
      <c r="K218" s="5" t="s">
        <v>108</v>
      </c>
      <c r="L218" s="8">
        <v>287606.32</v>
      </c>
      <c r="M218" s="5" t="s">
        <v>47</v>
      </c>
      <c r="N218" s="5" t="s">
        <v>65</v>
      </c>
      <c r="O218" s="5" t="s">
        <v>34</v>
      </c>
      <c r="P218" s="5" t="str">
        <f>IF(hospital_patient_unclean_500__2[[#This Row],[Age]]&lt;18,"0-17",IF(hospital_patient_unclean_500__2[[#This Row],[Age]]&lt;36,"18-35",IF(hospital_patient_unclean_500__2[[#This Row],[Age]]&lt;51,"36-50",IF(hospital_patient_unclean_500__2[[#This Row],[Age]]&lt;66,"51-65","66+"))))</f>
        <v>0-17</v>
      </c>
    </row>
    <row r="219" spans="1:16" x14ac:dyDescent="0.3">
      <c r="A219" s="5" t="s">
        <v>469</v>
      </c>
      <c r="B219" s="5" t="s">
        <v>214</v>
      </c>
      <c r="C219" s="6">
        <v>24</v>
      </c>
      <c r="D219" s="5" t="s">
        <v>51</v>
      </c>
      <c r="E219" s="5" t="s">
        <v>37</v>
      </c>
      <c r="F219" s="5" t="s">
        <v>19</v>
      </c>
      <c r="G219" s="5" t="s">
        <v>158</v>
      </c>
      <c r="H219" s="7">
        <v>45812</v>
      </c>
      <c r="I219" s="7">
        <v>46003</v>
      </c>
      <c r="J219" s="5" t="s">
        <v>180</v>
      </c>
      <c r="K219" s="5" t="s">
        <v>181</v>
      </c>
      <c r="L219" s="8">
        <v>289092.03000000003</v>
      </c>
      <c r="M219" s="5" t="s">
        <v>60</v>
      </c>
      <c r="N219" s="5" t="s">
        <v>65</v>
      </c>
      <c r="O219" s="5" t="s">
        <v>41</v>
      </c>
      <c r="P219" s="5" t="str">
        <f>IF(hospital_patient_unclean_500__2[[#This Row],[Age]]&lt;18,"0-17",IF(hospital_patient_unclean_500__2[[#This Row],[Age]]&lt;36,"18-35",IF(hospital_patient_unclean_500__2[[#This Row],[Age]]&lt;51,"36-50",IF(hospital_patient_unclean_500__2[[#This Row],[Age]]&lt;66,"51-65","66+"))))</f>
        <v>18-35</v>
      </c>
    </row>
    <row r="220" spans="1:16" x14ac:dyDescent="0.3">
      <c r="A220" s="5" t="s">
        <v>470</v>
      </c>
      <c r="B220" s="5" t="s">
        <v>471</v>
      </c>
      <c r="C220" s="6">
        <v>54</v>
      </c>
      <c r="D220" s="5" t="s">
        <v>819</v>
      </c>
      <c r="E220" s="5" t="s">
        <v>43</v>
      </c>
      <c r="F220" s="5" t="s">
        <v>19</v>
      </c>
      <c r="G220" s="5" t="s">
        <v>20</v>
      </c>
      <c r="H220" s="7">
        <v>46003</v>
      </c>
      <c r="I220" s="7">
        <v>46021</v>
      </c>
      <c r="J220" s="5" t="s">
        <v>120</v>
      </c>
      <c r="K220" s="5" t="s">
        <v>121</v>
      </c>
      <c r="L220" s="8">
        <v>33757.449999999997</v>
      </c>
      <c r="M220" s="5" t="s">
        <v>47</v>
      </c>
      <c r="N220" s="5" t="s">
        <v>850</v>
      </c>
      <c r="O220" s="5" t="s">
        <v>93</v>
      </c>
      <c r="P220" s="5" t="str">
        <f>IF(hospital_patient_unclean_500__2[[#This Row],[Age]]&lt;18,"0-17",IF(hospital_patient_unclean_500__2[[#This Row],[Age]]&lt;36,"18-35",IF(hospital_patient_unclean_500__2[[#This Row],[Age]]&lt;51,"36-50",IF(hospital_patient_unclean_500__2[[#This Row],[Age]]&lt;66,"51-65","66+"))))</f>
        <v>51-65</v>
      </c>
    </row>
    <row r="221" spans="1:16" x14ac:dyDescent="0.3">
      <c r="A221" s="5" t="s">
        <v>472</v>
      </c>
      <c r="B221" s="5" t="s">
        <v>473</v>
      </c>
      <c r="C221" s="6">
        <v>73</v>
      </c>
      <c r="D221" s="5" t="s">
        <v>17</v>
      </c>
      <c r="E221" s="5" t="s">
        <v>819</v>
      </c>
      <c r="F221" s="5" t="s">
        <v>53</v>
      </c>
      <c r="G221" s="5" t="s">
        <v>143</v>
      </c>
      <c r="H221" s="7">
        <v>45851</v>
      </c>
      <c r="I221" s="7">
        <v>45863</v>
      </c>
      <c r="J221" s="5" t="s">
        <v>200</v>
      </c>
      <c r="K221" s="5" t="s">
        <v>201</v>
      </c>
      <c r="L221" s="8">
        <v>137604.06</v>
      </c>
      <c r="M221" s="5" t="s">
        <v>60</v>
      </c>
      <c r="N221" s="5" t="s">
        <v>33</v>
      </c>
      <c r="O221" s="5" t="s">
        <v>820</v>
      </c>
      <c r="P221" s="5" t="str">
        <f>IF(hospital_patient_unclean_500__2[[#This Row],[Age]]&lt;18,"0-17",IF(hospital_patient_unclean_500__2[[#This Row],[Age]]&lt;36,"18-35",IF(hospital_patient_unclean_500__2[[#This Row],[Age]]&lt;51,"36-50",IF(hospital_patient_unclean_500__2[[#This Row],[Age]]&lt;66,"51-65","66+"))))</f>
        <v>66+</v>
      </c>
    </row>
    <row r="222" spans="1:16" x14ac:dyDescent="0.3">
      <c r="A222" s="5" t="s">
        <v>474</v>
      </c>
      <c r="B222" s="5" t="s">
        <v>744</v>
      </c>
      <c r="C222" s="6">
        <v>43</v>
      </c>
      <c r="D222" s="5" t="s">
        <v>17</v>
      </c>
      <c r="E222" s="5" t="s">
        <v>52</v>
      </c>
      <c r="F222" s="5" t="s">
        <v>38</v>
      </c>
      <c r="G222" s="5" t="s">
        <v>125</v>
      </c>
      <c r="H222" s="7">
        <v>45693</v>
      </c>
      <c r="I222" s="7">
        <v>45703</v>
      </c>
      <c r="J222" s="5" t="s">
        <v>97</v>
      </c>
      <c r="K222" s="5" t="s">
        <v>98</v>
      </c>
      <c r="L222" s="8">
        <v>48497.57</v>
      </c>
      <c r="M222" s="5" t="s">
        <v>32</v>
      </c>
      <c r="N222" s="5" t="s">
        <v>48</v>
      </c>
      <c r="O222" s="5" t="s">
        <v>93</v>
      </c>
      <c r="P222" s="5" t="str">
        <f>IF(hospital_patient_unclean_500__2[[#This Row],[Age]]&lt;18,"0-17",IF(hospital_patient_unclean_500__2[[#This Row],[Age]]&lt;36,"18-35",IF(hospital_patient_unclean_500__2[[#This Row],[Age]]&lt;51,"36-50",IF(hospital_patient_unclean_500__2[[#This Row],[Age]]&lt;66,"51-65","66+"))))</f>
        <v>36-50</v>
      </c>
    </row>
    <row r="223" spans="1:16" x14ac:dyDescent="0.3">
      <c r="A223" s="5" t="s">
        <v>475</v>
      </c>
      <c r="B223" s="5" t="s">
        <v>476</v>
      </c>
      <c r="C223" s="6">
        <v>65</v>
      </c>
      <c r="D223" s="5" t="s">
        <v>51</v>
      </c>
      <c r="E223" s="5" t="s">
        <v>43</v>
      </c>
      <c r="F223" s="5" t="s">
        <v>132</v>
      </c>
      <c r="G223" s="5" t="s">
        <v>133</v>
      </c>
      <c r="H223" s="7">
        <v>45720</v>
      </c>
      <c r="I223" s="7">
        <v>45724</v>
      </c>
      <c r="J223" s="5" t="s">
        <v>134</v>
      </c>
      <c r="K223" s="5" t="s">
        <v>135</v>
      </c>
      <c r="L223" s="8">
        <v>270774.19</v>
      </c>
      <c r="M223" s="5" t="s">
        <v>32</v>
      </c>
      <c r="N223" s="5" t="s">
        <v>819</v>
      </c>
      <c r="O223" s="5" t="s">
        <v>41</v>
      </c>
      <c r="P223" s="5" t="str">
        <f>IF(hospital_patient_unclean_500__2[[#This Row],[Age]]&lt;18,"0-17",IF(hospital_patient_unclean_500__2[[#This Row],[Age]]&lt;36,"18-35",IF(hospital_patient_unclean_500__2[[#This Row],[Age]]&lt;51,"36-50",IF(hospital_patient_unclean_500__2[[#This Row],[Age]]&lt;66,"51-65","66+"))))</f>
        <v>51-65</v>
      </c>
    </row>
    <row r="224" spans="1:16" x14ac:dyDescent="0.3">
      <c r="A224" s="5" t="s">
        <v>477</v>
      </c>
      <c r="B224" s="5" t="s">
        <v>478</v>
      </c>
      <c r="C224" s="6">
        <v>65</v>
      </c>
      <c r="D224" s="5" t="s">
        <v>51</v>
      </c>
      <c r="E224" s="5" t="s">
        <v>37</v>
      </c>
      <c r="F224" s="5" t="s">
        <v>132</v>
      </c>
      <c r="G224" s="5" t="s">
        <v>138</v>
      </c>
      <c r="H224" s="7">
        <v>45737</v>
      </c>
      <c r="I224" s="7">
        <v>45745</v>
      </c>
      <c r="J224" s="5" t="s">
        <v>139</v>
      </c>
      <c r="K224" s="5" t="s">
        <v>140</v>
      </c>
      <c r="L224" s="8">
        <v>337793.92</v>
      </c>
      <c r="M224" s="5" t="s">
        <v>32</v>
      </c>
      <c r="N224" s="5" t="s">
        <v>33</v>
      </c>
      <c r="O224" s="5" t="s">
        <v>820</v>
      </c>
      <c r="P224" s="5" t="str">
        <f>IF(hospital_patient_unclean_500__2[[#This Row],[Age]]&lt;18,"0-17",IF(hospital_patient_unclean_500__2[[#This Row],[Age]]&lt;36,"18-35",IF(hospital_patient_unclean_500__2[[#This Row],[Age]]&lt;51,"36-50",IF(hospital_patient_unclean_500__2[[#This Row],[Age]]&lt;66,"51-65","66+"))))</f>
        <v>51-65</v>
      </c>
    </row>
    <row r="225" spans="1:16" x14ac:dyDescent="0.3">
      <c r="A225" s="5" t="s">
        <v>479</v>
      </c>
      <c r="B225" s="5" t="s">
        <v>480</v>
      </c>
      <c r="C225" s="6">
        <v>5</v>
      </c>
      <c r="D225" s="5" t="s">
        <v>51</v>
      </c>
      <c r="E225" s="5" t="s">
        <v>43</v>
      </c>
      <c r="F225" s="5" t="s">
        <v>38</v>
      </c>
      <c r="G225" s="5" t="s">
        <v>819</v>
      </c>
      <c r="H225" s="7">
        <v>46014</v>
      </c>
      <c r="I225" s="7">
        <v>46014</v>
      </c>
      <c r="J225" s="5" t="s">
        <v>828</v>
      </c>
      <c r="K225" s="5" t="s">
        <v>39</v>
      </c>
      <c r="L225" s="8">
        <v>288515.28999999998</v>
      </c>
      <c r="M225" s="5" t="s">
        <v>40</v>
      </c>
      <c r="N225" s="5" t="s">
        <v>65</v>
      </c>
      <c r="O225" s="5" t="s">
        <v>41</v>
      </c>
      <c r="P225" s="5" t="str">
        <f>IF(hospital_patient_unclean_500__2[[#This Row],[Age]]&lt;18,"0-17",IF(hospital_patient_unclean_500__2[[#This Row],[Age]]&lt;36,"18-35",IF(hospital_patient_unclean_500__2[[#This Row],[Age]]&lt;51,"36-50",IF(hospital_patient_unclean_500__2[[#This Row],[Age]]&lt;66,"51-65","66+"))))</f>
        <v>0-17</v>
      </c>
    </row>
    <row r="226" spans="1:16" x14ac:dyDescent="0.3">
      <c r="A226" s="5" t="s">
        <v>481</v>
      </c>
      <c r="B226" s="5" t="s">
        <v>351</v>
      </c>
      <c r="C226" s="6">
        <v>16</v>
      </c>
      <c r="D226" s="5" t="s">
        <v>17</v>
      </c>
      <c r="E226" s="5" t="s">
        <v>111</v>
      </c>
      <c r="F226" s="5" t="s">
        <v>38</v>
      </c>
      <c r="G226" s="5" t="s">
        <v>125</v>
      </c>
      <c r="H226" s="7">
        <v>45851</v>
      </c>
      <c r="I226" s="7">
        <v>45860</v>
      </c>
      <c r="J226" s="5" t="s">
        <v>80</v>
      </c>
      <c r="K226" s="5" t="s">
        <v>81</v>
      </c>
      <c r="L226" s="8">
        <v>330046.03999999998</v>
      </c>
      <c r="M226" s="5" t="s">
        <v>60</v>
      </c>
      <c r="N226" s="5" t="s">
        <v>33</v>
      </c>
      <c r="O226" s="5" t="s">
        <v>34</v>
      </c>
      <c r="P226" s="5" t="str">
        <f>IF(hospital_patient_unclean_500__2[[#This Row],[Age]]&lt;18,"0-17",IF(hospital_patient_unclean_500__2[[#This Row],[Age]]&lt;36,"18-35",IF(hospital_patient_unclean_500__2[[#This Row],[Age]]&lt;51,"36-50",IF(hospital_patient_unclean_500__2[[#This Row],[Age]]&lt;66,"51-65","66+"))))</f>
        <v>0-17</v>
      </c>
    </row>
    <row r="227" spans="1:16" x14ac:dyDescent="0.3">
      <c r="A227" s="5" t="s">
        <v>482</v>
      </c>
      <c r="B227" s="5" t="s">
        <v>483</v>
      </c>
      <c r="C227" s="6">
        <v>31</v>
      </c>
      <c r="D227" s="5" t="s">
        <v>51</v>
      </c>
      <c r="E227" s="5" t="s">
        <v>84</v>
      </c>
      <c r="F227" s="5" t="s">
        <v>38</v>
      </c>
      <c r="G227" s="5" t="s">
        <v>167</v>
      </c>
      <c r="H227" s="7">
        <v>45759</v>
      </c>
      <c r="I227" s="7">
        <v>45764</v>
      </c>
      <c r="J227" s="5" t="s">
        <v>184</v>
      </c>
      <c r="K227" s="5" t="s">
        <v>59</v>
      </c>
      <c r="L227" s="8">
        <v>64734.19</v>
      </c>
      <c r="M227" s="5" t="s">
        <v>47</v>
      </c>
      <c r="N227" s="5" t="s">
        <v>48</v>
      </c>
      <c r="O227" s="5" t="s">
        <v>41</v>
      </c>
      <c r="P227" s="5" t="str">
        <f>IF(hospital_patient_unclean_500__2[[#This Row],[Age]]&lt;18,"0-17",IF(hospital_patient_unclean_500__2[[#This Row],[Age]]&lt;36,"18-35",IF(hospital_patient_unclean_500__2[[#This Row],[Age]]&lt;51,"36-50",IF(hospital_patient_unclean_500__2[[#This Row],[Age]]&lt;66,"51-65","66+"))))</f>
        <v>18-35</v>
      </c>
    </row>
    <row r="228" spans="1:16" x14ac:dyDescent="0.3">
      <c r="A228" s="5" t="s">
        <v>484</v>
      </c>
      <c r="B228" s="5" t="s">
        <v>129</v>
      </c>
      <c r="C228" s="6">
        <v>84</v>
      </c>
      <c r="D228" s="5" t="s">
        <v>17</v>
      </c>
      <c r="E228" s="5" t="s">
        <v>52</v>
      </c>
      <c r="F228" s="5" t="s">
        <v>53</v>
      </c>
      <c r="G228" s="5" t="s">
        <v>143</v>
      </c>
      <c r="H228" s="7">
        <v>45667</v>
      </c>
      <c r="I228" s="7">
        <v>45668</v>
      </c>
      <c r="J228" s="5" t="s">
        <v>819</v>
      </c>
      <c r="K228" s="5" t="s">
        <v>108</v>
      </c>
      <c r="L228" s="8">
        <v>340459.81</v>
      </c>
      <c r="M228" s="5" t="s">
        <v>40</v>
      </c>
      <c r="N228" s="5" t="s">
        <v>33</v>
      </c>
      <c r="O228" s="5" t="s">
        <v>34</v>
      </c>
      <c r="P228" s="5" t="str">
        <f>IF(hospital_patient_unclean_500__2[[#This Row],[Age]]&lt;18,"0-17",IF(hospital_patient_unclean_500__2[[#This Row],[Age]]&lt;36,"18-35",IF(hospital_patient_unclean_500__2[[#This Row],[Age]]&lt;51,"36-50",IF(hospital_patient_unclean_500__2[[#This Row],[Age]]&lt;66,"51-65","66+"))))</f>
        <v>66+</v>
      </c>
    </row>
    <row r="229" spans="1:16" x14ac:dyDescent="0.3">
      <c r="A229" s="5" t="s">
        <v>485</v>
      </c>
      <c r="B229" s="5" t="s">
        <v>119</v>
      </c>
      <c r="C229" s="6">
        <v>63</v>
      </c>
      <c r="D229" s="5" t="s">
        <v>17</v>
      </c>
      <c r="E229" s="5" t="s">
        <v>64</v>
      </c>
      <c r="F229" s="5" t="s">
        <v>28</v>
      </c>
      <c r="G229" s="5" t="s">
        <v>29</v>
      </c>
      <c r="H229" s="7">
        <v>45818</v>
      </c>
      <c r="I229" s="7">
        <v>45818</v>
      </c>
      <c r="J229" s="5" t="s">
        <v>30</v>
      </c>
      <c r="K229" s="5" t="s">
        <v>31</v>
      </c>
      <c r="L229" s="8">
        <v>82982.5</v>
      </c>
      <c r="M229" s="5" t="s">
        <v>99</v>
      </c>
      <c r="N229" s="5" t="s">
        <v>61</v>
      </c>
      <c r="O229" s="5" t="s">
        <v>819</v>
      </c>
      <c r="P229" s="5" t="str">
        <f>IF(hospital_patient_unclean_500__2[[#This Row],[Age]]&lt;18,"0-17",IF(hospital_patient_unclean_500__2[[#This Row],[Age]]&lt;36,"18-35",IF(hospital_patient_unclean_500__2[[#This Row],[Age]]&lt;51,"36-50",IF(hospital_patient_unclean_500__2[[#This Row],[Age]]&lt;66,"51-65","66+"))))</f>
        <v>51-65</v>
      </c>
    </row>
    <row r="230" spans="1:16" x14ac:dyDescent="0.3">
      <c r="A230" s="5" t="s">
        <v>486</v>
      </c>
      <c r="B230" s="5" t="s">
        <v>473</v>
      </c>
      <c r="C230" s="6">
        <v>40</v>
      </c>
      <c r="D230" s="5" t="s">
        <v>17</v>
      </c>
      <c r="E230" s="5" t="s">
        <v>111</v>
      </c>
      <c r="F230" s="5" t="s">
        <v>38</v>
      </c>
      <c r="G230" s="5" t="s">
        <v>125</v>
      </c>
      <c r="H230" s="7">
        <v>45783</v>
      </c>
      <c r="I230" s="7">
        <v>45783</v>
      </c>
      <c r="J230" s="5" t="s">
        <v>80</v>
      </c>
      <c r="K230" s="5" t="s">
        <v>81</v>
      </c>
      <c r="L230" s="8">
        <v>192719.37</v>
      </c>
      <c r="M230" s="5" t="s">
        <v>40</v>
      </c>
      <c r="N230" s="5" t="s">
        <v>33</v>
      </c>
      <c r="O230" s="5" t="s">
        <v>41</v>
      </c>
      <c r="P230" s="5" t="str">
        <f>IF(hospital_patient_unclean_500__2[[#This Row],[Age]]&lt;18,"0-17",IF(hospital_patient_unclean_500__2[[#This Row],[Age]]&lt;36,"18-35",IF(hospital_patient_unclean_500__2[[#This Row],[Age]]&lt;51,"36-50",IF(hospital_patient_unclean_500__2[[#This Row],[Age]]&lt;66,"51-65","66+"))))</f>
        <v>36-50</v>
      </c>
    </row>
    <row r="231" spans="1:16" x14ac:dyDescent="0.3">
      <c r="A231" s="5" t="s">
        <v>487</v>
      </c>
      <c r="B231" s="5" t="s">
        <v>488</v>
      </c>
      <c r="C231" s="6">
        <v>64</v>
      </c>
      <c r="D231" s="5" t="s">
        <v>819</v>
      </c>
      <c r="E231" s="5" t="s">
        <v>111</v>
      </c>
      <c r="F231" s="5" t="s">
        <v>44</v>
      </c>
      <c r="G231" s="5" t="s">
        <v>45</v>
      </c>
      <c r="H231" s="7">
        <v>45693</v>
      </c>
      <c r="I231" s="7">
        <v>45707</v>
      </c>
      <c r="J231" s="5" t="s">
        <v>154</v>
      </c>
      <c r="K231" s="5" t="s">
        <v>155</v>
      </c>
      <c r="L231" s="8">
        <v>324747.28000000003</v>
      </c>
      <c r="M231" s="5" t="s">
        <v>60</v>
      </c>
      <c r="N231" s="5" t="s">
        <v>48</v>
      </c>
      <c r="O231" s="5" t="s">
        <v>93</v>
      </c>
      <c r="P231" s="5" t="str">
        <f>IF(hospital_patient_unclean_500__2[[#This Row],[Age]]&lt;18,"0-17",IF(hospital_patient_unclean_500__2[[#This Row],[Age]]&lt;36,"18-35",IF(hospital_patient_unclean_500__2[[#This Row],[Age]]&lt;51,"36-50",IF(hospital_patient_unclean_500__2[[#This Row],[Age]]&lt;66,"51-65","66+"))))</f>
        <v>51-65</v>
      </c>
    </row>
    <row r="232" spans="1:16" x14ac:dyDescent="0.3">
      <c r="A232" s="5" t="s">
        <v>489</v>
      </c>
      <c r="B232" s="5" t="s">
        <v>490</v>
      </c>
      <c r="C232" s="6">
        <v>43</v>
      </c>
      <c r="D232" s="5" t="s">
        <v>17</v>
      </c>
      <c r="E232" s="5" t="s">
        <v>52</v>
      </c>
      <c r="F232" s="5" t="s">
        <v>38</v>
      </c>
      <c r="G232" s="5" t="s">
        <v>79</v>
      </c>
      <c r="H232" s="7">
        <v>45659</v>
      </c>
      <c r="I232" s="7">
        <v>45660</v>
      </c>
      <c r="J232" s="5" t="s">
        <v>184</v>
      </c>
      <c r="K232" s="5" t="s">
        <v>59</v>
      </c>
      <c r="L232" s="8">
        <v>0</v>
      </c>
      <c r="M232" s="5" t="s">
        <v>32</v>
      </c>
      <c r="N232" s="5" t="s">
        <v>65</v>
      </c>
      <c r="O232" s="5" t="s">
        <v>34</v>
      </c>
      <c r="P232" s="5" t="str">
        <f>IF(hospital_patient_unclean_500__2[[#This Row],[Age]]&lt;18,"0-17",IF(hospital_patient_unclean_500__2[[#This Row],[Age]]&lt;36,"18-35",IF(hospital_patient_unclean_500__2[[#This Row],[Age]]&lt;51,"36-50",IF(hospital_patient_unclean_500__2[[#This Row],[Age]]&lt;66,"51-65","66+"))))</f>
        <v>36-50</v>
      </c>
    </row>
    <row r="233" spans="1:16" x14ac:dyDescent="0.3">
      <c r="A233" s="5" t="s">
        <v>491</v>
      </c>
      <c r="B233" s="5" t="s">
        <v>438</v>
      </c>
      <c r="C233" s="6">
        <v>82</v>
      </c>
      <c r="D233" s="5" t="s">
        <v>17</v>
      </c>
      <c r="E233" s="5" t="s">
        <v>37</v>
      </c>
      <c r="F233" s="5" t="s">
        <v>53</v>
      </c>
      <c r="G233" s="5" t="s">
        <v>69</v>
      </c>
      <c r="H233" s="7">
        <v>45786</v>
      </c>
      <c r="I233" s="7">
        <v>45795</v>
      </c>
      <c r="J233" s="5" t="s">
        <v>55</v>
      </c>
      <c r="K233" s="5" t="s">
        <v>56</v>
      </c>
      <c r="L233" s="8">
        <v>44700.19</v>
      </c>
      <c r="M233" s="5" t="s">
        <v>72</v>
      </c>
      <c r="N233" s="5" t="s">
        <v>65</v>
      </c>
      <c r="O233" s="5" t="s">
        <v>820</v>
      </c>
      <c r="P233" s="5" t="str">
        <f>IF(hospital_patient_unclean_500__2[[#This Row],[Age]]&lt;18,"0-17",IF(hospital_patient_unclean_500__2[[#This Row],[Age]]&lt;36,"18-35",IF(hospital_patient_unclean_500__2[[#This Row],[Age]]&lt;51,"36-50",IF(hospital_patient_unclean_500__2[[#This Row],[Age]]&lt;66,"51-65","66+"))))</f>
        <v>66+</v>
      </c>
    </row>
    <row r="234" spans="1:16" x14ac:dyDescent="0.3">
      <c r="A234" s="5" t="s">
        <v>492</v>
      </c>
      <c r="B234" s="5" t="s">
        <v>241</v>
      </c>
      <c r="C234" s="6">
        <v>21</v>
      </c>
      <c r="D234" s="5" t="s">
        <v>51</v>
      </c>
      <c r="E234" s="5" t="s">
        <v>37</v>
      </c>
      <c r="F234" s="5" t="s">
        <v>44</v>
      </c>
      <c r="G234" s="5" t="s">
        <v>45</v>
      </c>
      <c r="H234" s="7">
        <v>45882</v>
      </c>
      <c r="I234" s="7">
        <v>45882</v>
      </c>
      <c r="J234" s="5" t="s">
        <v>830</v>
      </c>
      <c r="K234" s="5" t="s">
        <v>46</v>
      </c>
      <c r="L234" s="8">
        <v>327792.19</v>
      </c>
      <c r="M234" s="5" t="s">
        <v>819</v>
      </c>
      <c r="N234" s="5" t="s">
        <v>65</v>
      </c>
      <c r="O234" s="5" t="s">
        <v>820</v>
      </c>
      <c r="P234" s="5" t="str">
        <f>IF(hospital_patient_unclean_500__2[[#This Row],[Age]]&lt;18,"0-17",IF(hospital_patient_unclean_500__2[[#This Row],[Age]]&lt;36,"18-35",IF(hospital_patient_unclean_500__2[[#This Row],[Age]]&lt;51,"36-50",IF(hospital_patient_unclean_500__2[[#This Row],[Age]]&lt;66,"51-65","66+"))))</f>
        <v>18-35</v>
      </c>
    </row>
    <row r="235" spans="1:16" x14ac:dyDescent="0.3">
      <c r="A235" s="5" t="s">
        <v>493</v>
      </c>
      <c r="B235" s="5" t="s">
        <v>356</v>
      </c>
      <c r="C235" s="6">
        <v>44</v>
      </c>
      <c r="D235" s="5" t="s">
        <v>51</v>
      </c>
      <c r="E235" s="5" t="s">
        <v>18</v>
      </c>
      <c r="F235" s="5" t="s">
        <v>53</v>
      </c>
      <c r="G235" s="5" t="s">
        <v>54</v>
      </c>
      <c r="H235" s="7">
        <v>45978</v>
      </c>
      <c r="I235" s="7">
        <v>45978</v>
      </c>
      <c r="J235" s="5" t="s">
        <v>107</v>
      </c>
      <c r="K235" s="5" t="s">
        <v>108</v>
      </c>
      <c r="L235" s="8">
        <v>192719.37</v>
      </c>
      <c r="M235" s="5" t="s">
        <v>60</v>
      </c>
      <c r="N235" s="5" t="s">
        <v>61</v>
      </c>
      <c r="O235" s="5" t="s">
        <v>25</v>
      </c>
      <c r="P235" s="5" t="str">
        <f>IF(hospital_patient_unclean_500__2[[#This Row],[Age]]&lt;18,"0-17",IF(hospital_patient_unclean_500__2[[#This Row],[Age]]&lt;36,"18-35",IF(hospital_patient_unclean_500__2[[#This Row],[Age]]&lt;51,"36-50",IF(hospital_patient_unclean_500__2[[#This Row],[Age]]&lt;66,"51-65","66+"))))</f>
        <v>36-50</v>
      </c>
    </row>
    <row r="236" spans="1:16" x14ac:dyDescent="0.3">
      <c r="A236" s="5" t="s">
        <v>494</v>
      </c>
      <c r="B236" s="5" t="s">
        <v>819</v>
      </c>
      <c r="C236" s="6">
        <v>83</v>
      </c>
      <c r="D236" s="5" t="s">
        <v>51</v>
      </c>
      <c r="E236" s="5" t="s">
        <v>84</v>
      </c>
      <c r="F236" s="5" t="s">
        <v>53</v>
      </c>
      <c r="G236" s="5" t="s">
        <v>69</v>
      </c>
      <c r="H236" s="7">
        <v>45686</v>
      </c>
      <c r="I236" s="7">
        <v>45701</v>
      </c>
      <c r="J236" s="5" t="s">
        <v>70</v>
      </c>
      <c r="K236" s="5" t="s">
        <v>71</v>
      </c>
      <c r="L236" s="8">
        <v>339754.62</v>
      </c>
      <c r="M236" s="5" t="s">
        <v>99</v>
      </c>
      <c r="N236" s="5" t="s">
        <v>65</v>
      </c>
      <c r="O236" s="5" t="s">
        <v>25</v>
      </c>
      <c r="P236" s="5" t="str">
        <f>IF(hospital_patient_unclean_500__2[[#This Row],[Age]]&lt;18,"0-17",IF(hospital_patient_unclean_500__2[[#This Row],[Age]]&lt;36,"18-35",IF(hospital_patient_unclean_500__2[[#This Row],[Age]]&lt;51,"36-50",IF(hospital_patient_unclean_500__2[[#This Row],[Age]]&lt;66,"51-65","66+"))))</f>
        <v>66+</v>
      </c>
    </row>
    <row r="237" spans="1:16" x14ac:dyDescent="0.3">
      <c r="A237" s="5" t="s">
        <v>495</v>
      </c>
      <c r="B237" s="5" t="s">
        <v>819</v>
      </c>
      <c r="C237" s="6">
        <v>22</v>
      </c>
      <c r="D237" s="5" t="s">
        <v>17</v>
      </c>
      <c r="E237" s="5" t="s">
        <v>68</v>
      </c>
      <c r="F237" s="5" t="s">
        <v>19</v>
      </c>
      <c r="G237" s="5" t="s">
        <v>20</v>
      </c>
      <c r="H237" s="7">
        <v>45941</v>
      </c>
      <c r="I237" s="7">
        <v>45952</v>
      </c>
      <c r="J237" s="5" t="s">
        <v>819</v>
      </c>
      <c r="K237" s="5" t="s">
        <v>181</v>
      </c>
      <c r="L237" s="8">
        <v>260747.8</v>
      </c>
      <c r="M237" s="5" t="s">
        <v>40</v>
      </c>
      <c r="N237" s="5" t="s">
        <v>48</v>
      </c>
      <c r="O237" s="5" t="s">
        <v>25</v>
      </c>
      <c r="P237" s="5" t="str">
        <f>IF(hospital_patient_unclean_500__2[[#This Row],[Age]]&lt;18,"0-17",IF(hospital_patient_unclean_500__2[[#This Row],[Age]]&lt;36,"18-35",IF(hospital_patient_unclean_500__2[[#This Row],[Age]]&lt;51,"36-50",IF(hospital_patient_unclean_500__2[[#This Row],[Age]]&lt;66,"51-65","66+"))))</f>
        <v>18-35</v>
      </c>
    </row>
    <row r="238" spans="1:16" x14ac:dyDescent="0.3">
      <c r="A238" s="5" t="s">
        <v>496</v>
      </c>
      <c r="B238" s="5" t="s">
        <v>58</v>
      </c>
      <c r="C238" s="6">
        <v>57</v>
      </c>
      <c r="D238" s="5" t="s">
        <v>51</v>
      </c>
      <c r="E238" s="5" t="s">
        <v>68</v>
      </c>
      <c r="F238" s="5" t="s">
        <v>819</v>
      </c>
      <c r="G238" s="5" t="s">
        <v>819</v>
      </c>
      <c r="H238" s="7">
        <v>45895</v>
      </c>
      <c r="I238" s="7">
        <v>45908</v>
      </c>
      <c r="J238" s="5" t="s">
        <v>216</v>
      </c>
      <c r="K238" s="5" t="s">
        <v>839</v>
      </c>
      <c r="L238" s="8">
        <v>293518.03000000003</v>
      </c>
      <c r="M238" s="5" t="s">
        <v>60</v>
      </c>
      <c r="N238" s="5" t="s">
        <v>33</v>
      </c>
      <c r="O238" s="5" t="s">
        <v>93</v>
      </c>
      <c r="P238" s="5" t="str">
        <f>IF(hospital_patient_unclean_500__2[[#This Row],[Age]]&lt;18,"0-17",IF(hospital_patient_unclean_500__2[[#This Row],[Age]]&lt;36,"18-35",IF(hospital_patient_unclean_500__2[[#This Row],[Age]]&lt;51,"36-50",IF(hospital_patient_unclean_500__2[[#This Row],[Age]]&lt;66,"51-65","66+"))))</f>
        <v>51-65</v>
      </c>
    </row>
    <row r="239" spans="1:16" x14ac:dyDescent="0.3">
      <c r="A239" s="5" t="s">
        <v>497</v>
      </c>
      <c r="B239" s="5" t="s">
        <v>819</v>
      </c>
      <c r="C239" s="6">
        <v>86</v>
      </c>
      <c r="D239" s="5" t="s">
        <v>51</v>
      </c>
      <c r="E239" s="5" t="s">
        <v>52</v>
      </c>
      <c r="F239" s="5" t="s">
        <v>28</v>
      </c>
      <c r="G239" s="5" t="s">
        <v>195</v>
      </c>
      <c r="H239" s="7">
        <v>45716</v>
      </c>
      <c r="I239" s="7">
        <v>45734</v>
      </c>
      <c r="J239" s="5" t="s">
        <v>189</v>
      </c>
      <c r="K239" s="5" t="s">
        <v>835</v>
      </c>
      <c r="L239" s="8">
        <v>114030.49</v>
      </c>
      <c r="M239" s="5" t="s">
        <v>47</v>
      </c>
      <c r="N239" s="5" t="s">
        <v>24</v>
      </c>
      <c r="O239" s="5" t="s">
        <v>820</v>
      </c>
      <c r="P239" s="5" t="str">
        <f>IF(hospital_patient_unclean_500__2[[#This Row],[Age]]&lt;18,"0-17",IF(hospital_patient_unclean_500__2[[#This Row],[Age]]&lt;36,"18-35",IF(hospital_patient_unclean_500__2[[#This Row],[Age]]&lt;51,"36-50",IF(hospital_patient_unclean_500__2[[#This Row],[Age]]&lt;66,"51-65","66+"))))</f>
        <v>66+</v>
      </c>
    </row>
    <row r="240" spans="1:16" x14ac:dyDescent="0.3">
      <c r="A240" s="5" t="s">
        <v>498</v>
      </c>
      <c r="B240" s="5" t="s">
        <v>499</v>
      </c>
      <c r="C240" s="6">
        <v>27</v>
      </c>
      <c r="D240" s="5" t="s">
        <v>17</v>
      </c>
      <c r="E240" s="5" t="s">
        <v>18</v>
      </c>
      <c r="F240" s="5" t="s">
        <v>19</v>
      </c>
      <c r="G240" s="5" t="s">
        <v>20</v>
      </c>
      <c r="H240" s="7">
        <v>45701</v>
      </c>
      <c r="I240" s="7">
        <v>45710</v>
      </c>
      <c r="J240" s="5" t="s">
        <v>120</v>
      </c>
      <c r="K240" s="5" t="s">
        <v>121</v>
      </c>
      <c r="L240" s="8">
        <v>66855.98</v>
      </c>
      <c r="M240" s="5" t="s">
        <v>60</v>
      </c>
      <c r="N240" s="5" t="s">
        <v>65</v>
      </c>
      <c r="O240" s="5" t="s">
        <v>93</v>
      </c>
      <c r="P240" s="5" t="str">
        <f>IF(hospital_patient_unclean_500__2[[#This Row],[Age]]&lt;18,"0-17",IF(hospital_patient_unclean_500__2[[#This Row],[Age]]&lt;36,"18-35",IF(hospital_patient_unclean_500__2[[#This Row],[Age]]&lt;51,"36-50",IF(hospital_patient_unclean_500__2[[#This Row],[Age]]&lt;66,"51-65","66+"))))</f>
        <v>18-35</v>
      </c>
    </row>
    <row r="241" spans="1:16" x14ac:dyDescent="0.3">
      <c r="A241" s="5" t="s">
        <v>500</v>
      </c>
      <c r="B241" s="5" t="s">
        <v>415</v>
      </c>
      <c r="C241" s="6">
        <v>52</v>
      </c>
      <c r="D241" s="5" t="s">
        <v>51</v>
      </c>
      <c r="E241" s="5" t="s">
        <v>111</v>
      </c>
      <c r="F241" s="5" t="s">
        <v>132</v>
      </c>
      <c r="G241" s="5" t="s">
        <v>133</v>
      </c>
      <c r="H241" s="7">
        <v>45890</v>
      </c>
      <c r="I241" s="7">
        <v>45897</v>
      </c>
      <c r="J241" s="5" t="s">
        <v>139</v>
      </c>
      <c r="K241" s="5" t="s">
        <v>140</v>
      </c>
      <c r="L241" s="8">
        <v>266163.46999999997</v>
      </c>
      <c r="M241" s="5" t="s">
        <v>32</v>
      </c>
      <c r="N241" s="5" t="s">
        <v>48</v>
      </c>
      <c r="O241" s="5" t="s">
        <v>25</v>
      </c>
      <c r="P241" s="5" t="str">
        <f>IF(hospital_patient_unclean_500__2[[#This Row],[Age]]&lt;18,"0-17",IF(hospital_patient_unclean_500__2[[#This Row],[Age]]&lt;36,"18-35",IF(hospital_patient_unclean_500__2[[#This Row],[Age]]&lt;51,"36-50",IF(hospital_patient_unclean_500__2[[#This Row],[Age]]&lt;66,"51-65","66+"))))</f>
        <v>51-65</v>
      </c>
    </row>
    <row r="242" spans="1:16" x14ac:dyDescent="0.3">
      <c r="A242" s="5" t="s">
        <v>501</v>
      </c>
      <c r="B242" s="5" t="s">
        <v>207</v>
      </c>
      <c r="C242" s="6">
        <v>32</v>
      </c>
      <c r="D242" s="5" t="s">
        <v>17</v>
      </c>
      <c r="E242" s="5" t="s">
        <v>18</v>
      </c>
      <c r="F242" s="5" t="s">
        <v>19</v>
      </c>
      <c r="G242" s="5" t="s">
        <v>105</v>
      </c>
      <c r="H242" s="7">
        <v>45912</v>
      </c>
      <c r="I242" s="7">
        <v>45912</v>
      </c>
      <c r="J242" s="5" t="s">
        <v>180</v>
      </c>
      <c r="K242" s="5" t="s">
        <v>181</v>
      </c>
      <c r="L242" s="8">
        <v>306146.28999999998</v>
      </c>
      <c r="M242" s="5" t="s">
        <v>40</v>
      </c>
      <c r="N242" s="5" t="s">
        <v>65</v>
      </c>
      <c r="O242" s="5" t="s">
        <v>41</v>
      </c>
      <c r="P242" s="5" t="str">
        <f>IF(hospital_patient_unclean_500__2[[#This Row],[Age]]&lt;18,"0-17",IF(hospital_patient_unclean_500__2[[#This Row],[Age]]&lt;36,"18-35",IF(hospital_patient_unclean_500__2[[#This Row],[Age]]&lt;51,"36-50",IF(hospital_patient_unclean_500__2[[#This Row],[Age]]&lt;66,"51-65","66+"))))</f>
        <v>18-35</v>
      </c>
    </row>
    <row r="243" spans="1:16" x14ac:dyDescent="0.3">
      <c r="A243" s="5" t="s">
        <v>502</v>
      </c>
      <c r="B243" s="5" t="s">
        <v>503</v>
      </c>
      <c r="C243" s="6">
        <v>38</v>
      </c>
      <c r="D243" s="5" t="s">
        <v>51</v>
      </c>
      <c r="E243" s="5" t="s">
        <v>18</v>
      </c>
      <c r="F243" s="5" t="s">
        <v>44</v>
      </c>
      <c r="G243" s="5" t="s">
        <v>221</v>
      </c>
      <c r="H243" s="7">
        <v>46003</v>
      </c>
      <c r="I243" s="7">
        <v>46003</v>
      </c>
      <c r="J243" s="5" t="s">
        <v>244</v>
      </c>
      <c r="K243" s="5" t="s">
        <v>280</v>
      </c>
      <c r="L243" s="8">
        <v>165780.85</v>
      </c>
      <c r="M243" s="5" t="s">
        <v>47</v>
      </c>
      <c r="N243" s="5" t="s">
        <v>33</v>
      </c>
      <c r="O243" s="5" t="s">
        <v>93</v>
      </c>
      <c r="P243" s="5" t="str">
        <f>IF(hospital_patient_unclean_500__2[[#This Row],[Age]]&lt;18,"0-17",IF(hospital_patient_unclean_500__2[[#This Row],[Age]]&lt;36,"18-35",IF(hospital_patient_unclean_500__2[[#This Row],[Age]]&lt;51,"36-50",IF(hospital_patient_unclean_500__2[[#This Row],[Age]]&lt;66,"51-65","66+"))))</f>
        <v>36-50</v>
      </c>
    </row>
    <row r="244" spans="1:16" x14ac:dyDescent="0.3">
      <c r="A244" s="5" t="s">
        <v>851</v>
      </c>
      <c r="B244" s="5" t="s">
        <v>503</v>
      </c>
      <c r="C244" s="6">
        <v>45</v>
      </c>
      <c r="D244" s="5" t="s">
        <v>51</v>
      </c>
      <c r="E244" s="5" t="s">
        <v>64</v>
      </c>
      <c r="F244" s="5" t="s">
        <v>44</v>
      </c>
      <c r="G244" s="5" t="s">
        <v>221</v>
      </c>
      <c r="H244" s="7">
        <v>45731</v>
      </c>
      <c r="I244" s="7">
        <v>45738</v>
      </c>
      <c r="J244" s="5" t="s">
        <v>830</v>
      </c>
      <c r="K244" s="5" t="s">
        <v>46</v>
      </c>
      <c r="L244" s="8">
        <v>293503.23</v>
      </c>
      <c r="M244" s="5" t="s">
        <v>40</v>
      </c>
      <c r="N244" s="5" t="s">
        <v>24</v>
      </c>
      <c r="O244" s="5" t="s">
        <v>25</v>
      </c>
      <c r="P244" s="5" t="str">
        <f>IF(hospital_patient_unclean_500__2[[#This Row],[Age]]&lt;18,"0-17",IF(hospital_patient_unclean_500__2[[#This Row],[Age]]&lt;36,"18-35",IF(hospital_patient_unclean_500__2[[#This Row],[Age]]&lt;51,"36-50",IF(hospital_patient_unclean_500__2[[#This Row],[Age]]&lt;66,"51-65","66+"))))</f>
        <v>36-50</v>
      </c>
    </row>
    <row r="245" spans="1:16" x14ac:dyDescent="0.3">
      <c r="A245" s="5" t="s">
        <v>504</v>
      </c>
      <c r="B245" s="5" t="s">
        <v>505</v>
      </c>
      <c r="C245" s="6">
        <v>49</v>
      </c>
      <c r="D245" s="5" t="s">
        <v>17</v>
      </c>
      <c r="E245" s="5" t="s">
        <v>124</v>
      </c>
      <c r="F245" s="5" t="s">
        <v>38</v>
      </c>
      <c r="G245" s="5" t="s">
        <v>125</v>
      </c>
      <c r="H245" s="7">
        <v>45728</v>
      </c>
      <c r="I245" s="7">
        <v>45965</v>
      </c>
      <c r="J245" s="5" t="s">
        <v>828</v>
      </c>
      <c r="K245" s="5" t="s">
        <v>39</v>
      </c>
      <c r="L245" s="8">
        <v>28693.03</v>
      </c>
      <c r="M245" s="5" t="s">
        <v>72</v>
      </c>
      <c r="N245" s="5" t="s">
        <v>61</v>
      </c>
      <c r="O245" s="5" t="s">
        <v>34</v>
      </c>
      <c r="P245" s="5" t="str">
        <f>IF(hospital_patient_unclean_500__2[[#This Row],[Age]]&lt;18,"0-17",IF(hospital_patient_unclean_500__2[[#This Row],[Age]]&lt;36,"18-35",IF(hospital_patient_unclean_500__2[[#This Row],[Age]]&lt;51,"36-50",IF(hospital_patient_unclean_500__2[[#This Row],[Age]]&lt;66,"51-65","66+"))))</f>
        <v>36-50</v>
      </c>
    </row>
    <row r="246" spans="1:16" x14ac:dyDescent="0.3">
      <c r="A246" s="5" t="s">
        <v>506</v>
      </c>
      <c r="B246" s="5" t="s">
        <v>142</v>
      </c>
      <c r="C246" s="6">
        <v>60</v>
      </c>
      <c r="D246" s="5" t="s">
        <v>51</v>
      </c>
      <c r="E246" s="5" t="s">
        <v>37</v>
      </c>
      <c r="F246" s="5" t="s">
        <v>87</v>
      </c>
      <c r="G246" s="5" t="s">
        <v>324</v>
      </c>
      <c r="H246" s="7">
        <v>45724</v>
      </c>
      <c r="I246" s="7">
        <v>45726</v>
      </c>
      <c r="J246" s="5" t="s">
        <v>192</v>
      </c>
      <c r="K246" s="5" t="s">
        <v>193</v>
      </c>
      <c r="L246" s="8">
        <v>28640.639999999999</v>
      </c>
      <c r="M246" s="5" t="s">
        <v>32</v>
      </c>
      <c r="N246" s="5" t="s">
        <v>33</v>
      </c>
      <c r="O246" s="5" t="s">
        <v>34</v>
      </c>
      <c r="P246" s="5" t="str">
        <f>IF(hospital_patient_unclean_500__2[[#This Row],[Age]]&lt;18,"0-17",IF(hospital_patient_unclean_500__2[[#This Row],[Age]]&lt;36,"18-35",IF(hospital_patient_unclean_500__2[[#This Row],[Age]]&lt;51,"36-50",IF(hospital_patient_unclean_500__2[[#This Row],[Age]]&lt;66,"51-65","66+"))))</f>
        <v>51-65</v>
      </c>
    </row>
    <row r="247" spans="1:16" x14ac:dyDescent="0.3">
      <c r="A247" s="5" t="s">
        <v>507</v>
      </c>
      <c r="B247" s="5" t="s">
        <v>819</v>
      </c>
      <c r="C247" s="6">
        <v>18</v>
      </c>
      <c r="D247" s="5" t="s">
        <v>17</v>
      </c>
      <c r="E247" s="5" t="s">
        <v>18</v>
      </c>
      <c r="F247" s="5" t="s">
        <v>19</v>
      </c>
      <c r="G247" s="5" t="s">
        <v>20</v>
      </c>
      <c r="H247" s="7">
        <v>45803</v>
      </c>
      <c r="I247" s="7">
        <v>45820</v>
      </c>
      <c r="J247" s="5" t="s">
        <v>120</v>
      </c>
      <c r="K247" s="5" t="s">
        <v>121</v>
      </c>
      <c r="L247" s="8">
        <v>234760.29</v>
      </c>
      <c r="M247" s="5" t="s">
        <v>99</v>
      </c>
      <c r="N247" s="5" t="s">
        <v>33</v>
      </c>
      <c r="O247" s="5" t="s">
        <v>820</v>
      </c>
      <c r="P247" s="5" t="str">
        <f>IF(hospital_patient_unclean_500__2[[#This Row],[Age]]&lt;18,"0-17",IF(hospital_patient_unclean_500__2[[#This Row],[Age]]&lt;36,"18-35",IF(hospital_patient_unclean_500__2[[#This Row],[Age]]&lt;51,"36-50",IF(hospital_patient_unclean_500__2[[#This Row],[Age]]&lt;66,"51-65","66+"))))</f>
        <v>18-35</v>
      </c>
    </row>
    <row r="248" spans="1:16" x14ac:dyDescent="0.3">
      <c r="A248" s="5" t="s">
        <v>508</v>
      </c>
      <c r="B248" s="5" t="s">
        <v>509</v>
      </c>
      <c r="C248" s="6">
        <v>75</v>
      </c>
      <c r="D248" s="5" t="s">
        <v>51</v>
      </c>
      <c r="E248" s="5" t="s">
        <v>68</v>
      </c>
      <c r="F248" s="5" t="s">
        <v>44</v>
      </c>
      <c r="G248" s="5" t="s">
        <v>45</v>
      </c>
      <c r="H248" s="7">
        <v>45801</v>
      </c>
      <c r="I248" s="7">
        <v>45806</v>
      </c>
      <c r="J248" s="5" t="s">
        <v>232</v>
      </c>
      <c r="K248" s="5" t="s">
        <v>160</v>
      </c>
      <c r="L248" s="8">
        <v>106499.26</v>
      </c>
      <c r="M248" s="5" t="s">
        <v>72</v>
      </c>
      <c r="N248" s="5" t="s">
        <v>61</v>
      </c>
      <c r="O248" s="5" t="s">
        <v>820</v>
      </c>
      <c r="P248" s="5" t="str">
        <f>IF(hospital_patient_unclean_500__2[[#This Row],[Age]]&lt;18,"0-17",IF(hospital_patient_unclean_500__2[[#This Row],[Age]]&lt;36,"18-35",IF(hospital_patient_unclean_500__2[[#This Row],[Age]]&lt;51,"36-50",IF(hospital_patient_unclean_500__2[[#This Row],[Age]]&lt;66,"51-65","66+"))))</f>
        <v>66+</v>
      </c>
    </row>
    <row r="249" spans="1:16" x14ac:dyDescent="0.3">
      <c r="A249" s="5" t="s">
        <v>510</v>
      </c>
      <c r="B249" s="5" t="s">
        <v>490</v>
      </c>
      <c r="C249" s="6">
        <v>42</v>
      </c>
      <c r="D249" s="5" t="s">
        <v>17</v>
      </c>
      <c r="E249" s="5" t="s">
        <v>84</v>
      </c>
      <c r="F249" s="5" t="s">
        <v>53</v>
      </c>
      <c r="G249" s="5" t="s">
        <v>69</v>
      </c>
      <c r="H249" s="7">
        <v>45938</v>
      </c>
      <c r="I249" s="7">
        <v>45938</v>
      </c>
      <c r="J249" s="5" t="s">
        <v>107</v>
      </c>
      <c r="K249" s="5" t="s">
        <v>108</v>
      </c>
      <c r="L249" s="8">
        <v>218046.64</v>
      </c>
      <c r="M249" s="5" t="s">
        <v>40</v>
      </c>
      <c r="N249" s="5" t="s">
        <v>24</v>
      </c>
      <c r="O249" s="5" t="s">
        <v>41</v>
      </c>
      <c r="P249" s="5" t="str">
        <f>IF(hospital_patient_unclean_500__2[[#This Row],[Age]]&lt;18,"0-17",IF(hospital_patient_unclean_500__2[[#This Row],[Age]]&lt;36,"18-35",IF(hospital_patient_unclean_500__2[[#This Row],[Age]]&lt;51,"36-50",IF(hospital_patient_unclean_500__2[[#This Row],[Age]]&lt;66,"51-65","66+"))))</f>
        <v>36-50</v>
      </c>
    </row>
    <row r="250" spans="1:16" x14ac:dyDescent="0.3">
      <c r="A250" s="5" t="s">
        <v>511</v>
      </c>
      <c r="B250" s="5" t="s">
        <v>512</v>
      </c>
      <c r="C250" s="6">
        <v>69</v>
      </c>
      <c r="D250" s="5" t="s">
        <v>17</v>
      </c>
      <c r="E250" s="5" t="s">
        <v>86</v>
      </c>
      <c r="F250" s="5" t="s">
        <v>38</v>
      </c>
      <c r="G250" s="5" t="s">
        <v>125</v>
      </c>
      <c r="H250" s="7">
        <v>45767</v>
      </c>
      <c r="I250" s="7">
        <v>45785</v>
      </c>
      <c r="J250" s="5" t="s">
        <v>184</v>
      </c>
      <c r="K250" s="5" t="s">
        <v>59</v>
      </c>
      <c r="L250" s="8">
        <v>0</v>
      </c>
      <c r="M250" s="5" t="s">
        <v>40</v>
      </c>
      <c r="N250" s="5" t="s">
        <v>48</v>
      </c>
      <c r="O250" s="5" t="s">
        <v>25</v>
      </c>
      <c r="P250" s="5" t="str">
        <f>IF(hospital_patient_unclean_500__2[[#This Row],[Age]]&lt;18,"0-17",IF(hospital_patient_unclean_500__2[[#This Row],[Age]]&lt;36,"18-35",IF(hospital_patient_unclean_500__2[[#This Row],[Age]]&lt;51,"36-50",IF(hospital_patient_unclean_500__2[[#This Row],[Age]]&lt;66,"51-65","66+"))))</f>
        <v>66+</v>
      </c>
    </row>
    <row r="251" spans="1:16" x14ac:dyDescent="0.3">
      <c r="A251" s="5" t="s">
        <v>513</v>
      </c>
      <c r="B251" s="5" t="s">
        <v>514</v>
      </c>
      <c r="C251" s="6">
        <v>8</v>
      </c>
      <c r="D251" s="5" t="s">
        <v>17</v>
      </c>
      <c r="E251" s="5" t="s">
        <v>111</v>
      </c>
      <c r="F251" s="5" t="s">
        <v>28</v>
      </c>
      <c r="G251" s="5" t="s">
        <v>195</v>
      </c>
      <c r="H251" s="7">
        <v>45698</v>
      </c>
      <c r="I251" s="7">
        <v>45710</v>
      </c>
      <c r="J251" s="5" t="s">
        <v>102</v>
      </c>
      <c r="K251" s="5" t="s">
        <v>103</v>
      </c>
      <c r="L251" s="8">
        <v>213386.28</v>
      </c>
      <c r="M251" s="5" t="s">
        <v>32</v>
      </c>
      <c r="N251" s="5" t="s">
        <v>24</v>
      </c>
      <c r="O251" s="5" t="s">
        <v>93</v>
      </c>
      <c r="P251" s="5" t="str">
        <f>IF(hospital_patient_unclean_500__2[[#This Row],[Age]]&lt;18,"0-17",IF(hospital_patient_unclean_500__2[[#This Row],[Age]]&lt;36,"18-35",IF(hospital_patient_unclean_500__2[[#This Row],[Age]]&lt;51,"36-50",IF(hospital_patient_unclean_500__2[[#This Row],[Age]]&lt;66,"51-65","66+"))))</f>
        <v>0-17</v>
      </c>
    </row>
    <row r="252" spans="1:16" x14ac:dyDescent="0.3">
      <c r="A252" s="5" t="s">
        <v>515</v>
      </c>
      <c r="B252" s="5" t="s">
        <v>451</v>
      </c>
      <c r="C252" s="6">
        <v>25</v>
      </c>
      <c r="D252" s="5" t="s">
        <v>17</v>
      </c>
      <c r="E252" s="5" t="s">
        <v>64</v>
      </c>
      <c r="F252" s="5" t="s">
        <v>53</v>
      </c>
      <c r="G252" s="5" t="s">
        <v>54</v>
      </c>
      <c r="H252" s="7">
        <v>45772</v>
      </c>
      <c r="I252" s="7">
        <v>45784</v>
      </c>
      <c r="J252" s="5" t="s">
        <v>107</v>
      </c>
      <c r="K252" s="5" t="s">
        <v>108</v>
      </c>
      <c r="L252" s="8">
        <v>155616.21</v>
      </c>
      <c r="M252" s="5" t="s">
        <v>32</v>
      </c>
      <c r="N252" s="5" t="s">
        <v>24</v>
      </c>
      <c r="O252" s="5" t="s">
        <v>93</v>
      </c>
      <c r="P252" s="5" t="str">
        <f>IF(hospital_patient_unclean_500__2[[#This Row],[Age]]&lt;18,"0-17",IF(hospital_patient_unclean_500__2[[#This Row],[Age]]&lt;36,"18-35",IF(hospital_patient_unclean_500__2[[#This Row],[Age]]&lt;51,"36-50",IF(hospital_patient_unclean_500__2[[#This Row],[Age]]&lt;66,"51-65","66+"))))</f>
        <v>18-35</v>
      </c>
    </row>
    <row r="253" spans="1:16" x14ac:dyDescent="0.3">
      <c r="A253" s="5" t="s">
        <v>516</v>
      </c>
      <c r="B253" s="5" t="s">
        <v>823</v>
      </c>
      <c r="C253" s="6">
        <v>68</v>
      </c>
      <c r="D253" s="5" t="s">
        <v>51</v>
      </c>
      <c r="E253" s="5" t="s">
        <v>86</v>
      </c>
      <c r="F253" s="5" t="s">
        <v>28</v>
      </c>
      <c r="G253" s="5" t="s">
        <v>29</v>
      </c>
      <c r="H253" s="7">
        <v>45710</v>
      </c>
      <c r="I253" s="7">
        <v>45721</v>
      </c>
      <c r="J253" s="5" t="s">
        <v>102</v>
      </c>
      <c r="K253" s="5" t="s">
        <v>103</v>
      </c>
      <c r="L253" s="8">
        <v>114914.67</v>
      </c>
      <c r="M253" s="5" t="s">
        <v>99</v>
      </c>
      <c r="N253" s="5" t="s">
        <v>48</v>
      </c>
      <c r="O253" s="5" t="s">
        <v>820</v>
      </c>
      <c r="P253" s="5" t="str">
        <f>IF(hospital_patient_unclean_500__2[[#This Row],[Age]]&lt;18,"0-17",IF(hospital_patient_unclean_500__2[[#This Row],[Age]]&lt;36,"18-35",IF(hospital_patient_unclean_500__2[[#This Row],[Age]]&lt;51,"36-50",IF(hospital_patient_unclean_500__2[[#This Row],[Age]]&lt;66,"51-65","66+"))))</f>
        <v>66+</v>
      </c>
    </row>
    <row r="254" spans="1:16" x14ac:dyDescent="0.3">
      <c r="A254" s="5" t="s">
        <v>517</v>
      </c>
      <c r="B254" s="5" t="s">
        <v>518</v>
      </c>
      <c r="C254" s="6">
        <v>2</v>
      </c>
      <c r="D254" s="5" t="s">
        <v>17</v>
      </c>
      <c r="E254" s="5" t="s">
        <v>111</v>
      </c>
      <c r="F254" s="5" t="s">
        <v>87</v>
      </c>
      <c r="G254" s="5" t="s">
        <v>112</v>
      </c>
      <c r="H254" s="7">
        <v>45905</v>
      </c>
      <c r="I254" s="7">
        <v>45921</v>
      </c>
      <c r="J254" s="5" t="s">
        <v>192</v>
      </c>
      <c r="K254" s="5" t="s">
        <v>193</v>
      </c>
      <c r="L254" s="8">
        <v>167818.16</v>
      </c>
      <c r="M254" s="5" t="s">
        <v>40</v>
      </c>
      <c r="N254" s="5" t="s">
        <v>65</v>
      </c>
      <c r="O254" s="5" t="s">
        <v>819</v>
      </c>
      <c r="P254" s="5" t="str">
        <f>IF(hospital_patient_unclean_500__2[[#This Row],[Age]]&lt;18,"0-17",IF(hospital_patient_unclean_500__2[[#This Row],[Age]]&lt;36,"18-35",IF(hospital_patient_unclean_500__2[[#This Row],[Age]]&lt;51,"36-50",IF(hospital_patient_unclean_500__2[[#This Row],[Age]]&lt;66,"51-65","66+"))))</f>
        <v>0-17</v>
      </c>
    </row>
    <row r="255" spans="1:16" x14ac:dyDescent="0.3">
      <c r="A255" s="5" t="s">
        <v>519</v>
      </c>
      <c r="B255" s="5" t="s">
        <v>520</v>
      </c>
      <c r="C255" s="6">
        <v>31</v>
      </c>
      <c r="D255" s="5" t="s">
        <v>96</v>
      </c>
      <c r="E255" s="5" t="s">
        <v>86</v>
      </c>
      <c r="F255" s="5" t="s">
        <v>38</v>
      </c>
      <c r="G255" s="5" t="s">
        <v>167</v>
      </c>
      <c r="H255" s="7">
        <v>45690</v>
      </c>
      <c r="I255" s="7">
        <v>45879</v>
      </c>
      <c r="J255" s="5" t="s">
        <v>828</v>
      </c>
      <c r="K255" s="5" t="s">
        <v>819</v>
      </c>
      <c r="L255" s="8">
        <v>47432.59</v>
      </c>
      <c r="M255" s="5" t="s">
        <v>72</v>
      </c>
      <c r="N255" s="5" t="s">
        <v>33</v>
      </c>
      <c r="O255" s="5" t="s">
        <v>34</v>
      </c>
      <c r="P255" s="5" t="str">
        <f>IF(hospital_patient_unclean_500__2[[#This Row],[Age]]&lt;18,"0-17",IF(hospital_patient_unclean_500__2[[#This Row],[Age]]&lt;36,"18-35",IF(hospital_patient_unclean_500__2[[#This Row],[Age]]&lt;51,"36-50",IF(hospital_patient_unclean_500__2[[#This Row],[Age]]&lt;66,"51-65","66+"))))</f>
        <v>18-35</v>
      </c>
    </row>
    <row r="256" spans="1:16" x14ac:dyDescent="0.3">
      <c r="A256" s="5" t="s">
        <v>521</v>
      </c>
      <c r="B256" s="5" t="s">
        <v>453</v>
      </c>
      <c r="C256" s="6">
        <v>59</v>
      </c>
      <c r="D256" s="5" t="s">
        <v>51</v>
      </c>
      <c r="E256" s="5" t="s">
        <v>18</v>
      </c>
      <c r="F256" s="5" t="s">
        <v>132</v>
      </c>
      <c r="G256" s="5" t="s">
        <v>223</v>
      </c>
      <c r="H256" s="7">
        <v>45819</v>
      </c>
      <c r="I256" s="7">
        <v>45836</v>
      </c>
      <c r="J256" s="5" t="s">
        <v>147</v>
      </c>
      <c r="K256" s="5" t="s">
        <v>148</v>
      </c>
      <c r="L256" s="8">
        <v>344782.51</v>
      </c>
      <c r="M256" s="5" t="s">
        <v>99</v>
      </c>
      <c r="N256" s="5" t="s">
        <v>33</v>
      </c>
      <c r="O256" s="5" t="s">
        <v>819</v>
      </c>
      <c r="P256" s="5" t="str">
        <f>IF(hospital_patient_unclean_500__2[[#This Row],[Age]]&lt;18,"0-17",IF(hospital_patient_unclean_500__2[[#This Row],[Age]]&lt;36,"18-35",IF(hospital_patient_unclean_500__2[[#This Row],[Age]]&lt;51,"36-50",IF(hospital_patient_unclean_500__2[[#This Row],[Age]]&lt;66,"51-65","66+"))))</f>
        <v>51-65</v>
      </c>
    </row>
    <row r="257" spans="1:16" x14ac:dyDescent="0.3">
      <c r="A257" s="5" t="s">
        <v>522</v>
      </c>
      <c r="B257" s="5" t="s">
        <v>67</v>
      </c>
      <c r="C257" s="6">
        <v>55</v>
      </c>
      <c r="D257" s="5" t="s">
        <v>17</v>
      </c>
      <c r="E257" s="5" t="s">
        <v>37</v>
      </c>
      <c r="F257" s="5" t="s">
        <v>19</v>
      </c>
      <c r="G257" s="5" t="s">
        <v>158</v>
      </c>
      <c r="H257" s="7">
        <v>45864</v>
      </c>
      <c r="I257" s="7">
        <v>45867</v>
      </c>
      <c r="J257" s="5" t="s">
        <v>120</v>
      </c>
      <c r="K257" s="5" t="s">
        <v>121</v>
      </c>
      <c r="L257" s="8">
        <v>110914.54</v>
      </c>
      <c r="M257" s="5" t="s">
        <v>23</v>
      </c>
      <c r="N257" s="5" t="s">
        <v>33</v>
      </c>
      <c r="O257" s="5" t="s">
        <v>34</v>
      </c>
      <c r="P257" s="5" t="str">
        <f>IF(hospital_patient_unclean_500__2[[#This Row],[Age]]&lt;18,"0-17",IF(hospital_patient_unclean_500__2[[#This Row],[Age]]&lt;36,"18-35",IF(hospital_patient_unclean_500__2[[#This Row],[Age]]&lt;51,"36-50",IF(hospital_patient_unclean_500__2[[#This Row],[Age]]&lt;66,"51-65","66+"))))</f>
        <v>51-65</v>
      </c>
    </row>
    <row r="258" spans="1:16" x14ac:dyDescent="0.3">
      <c r="A258" s="5" t="s">
        <v>523</v>
      </c>
      <c r="B258" s="5" t="s">
        <v>524</v>
      </c>
      <c r="C258" s="6">
        <v>87</v>
      </c>
      <c r="D258" s="5" t="s">
        <v>17</v>
      </c>
      <c r="E258" s="5" t="s">
        <v>52</v>
      </c>
      <c r="F258" s="5" t="s">
        <v>28</v>
      </c>
      <c r="G258" s="5" t="s">
        <v>29</v>
      </c>
      <c r="H258" s="7">
        <v>45751</v>
      </c>
      <c r="I258" s="7">
        <v>45769</v>
      </c>
      <c r="J258" s="5" t="s">
        <v>189</v>
      </c>
      <c r="K258" s="5" t="s">
        <v>835</v>
      </c>
      <c r="L258" s="8">
        <v>235154.38</v>
      </c>
      <c r="M258" s="5" t="s">
        <v>60</v>
      </c>
      <c r="N258" s="5" t="s">
        <v>33</v>
      </c>
      <c r="O258" s="5" t="s">
        <v>820</v>
      </c>
      <c r="P258" s="5" t="str">
        <f>IF(hospital_patient_unclean_500__2[[#This Row],[Age]]&lt;18,"0-17",IF(hospital_patient_unclean_500__2[[#This Row],[Age]]&lt;36,"18-35",IF(hospital_patient_unclean_500__2[[#This Row],[Age]]&lt;51,"36-50",IF(hospital_patient_unclean_500__2[[#This Row],[Age]]&lt;66,"51-65","66+"))))</f>
        <v>66+</v>
      </c>
    </row>
    <row r="259" spans="1:16" x14ac:dyDescent="0.3">
      <c r="A259" s="5" t="s">
        <v>525</v>
      </c>
      <c r="B259" s="5" t="s">
        <v>388</v>
      </c>
      <c r="C259" s="6">
        <v>31</v>
      </c>
      <c r="D259" s="5" t="s">
        <v>51</v>
      </c>
      <c r="E259" s="5" t="s">
        <v>111</v>
      </c>
      <c r="F259" s="5" t="s">
        <v>87</v>
      </c>
      <c r="G259" s="5" t="s">
        <v>88</v>
      </c>
      <c r="H259" s="7">
        <v>45764</v>
      </c>
      <c r="I259" s="7">
        <v>45771</v>
      </c>
      <c r="J259" s="5" t="s">
        <v>192</v>
      </c>
      <c r="K259" s="5" t="s">
        <v>193</v>
      </c>
      <c r="L259" s="8">
        <v>161347.78</v>
      </c>
      <c r="M259" s="5" t="s">
        <v>23</v>
      </c>
      <c r="N259" s="5" t="s">
        <v>33</v>
      </c>
      <c r="O259" s="5" t="s">
        <v>25</v>
      </c>
      <c r="P259" s="5" t="str">
        <f>IF(hospital_patient_unclean_500__2[[#This Row],[Age]]&lt;18,"0-17",IF(hospital_patient_unclean_500__2[[#This Row],[Age]]&lt;36,"18-35",IF(hospital_patient_unclean_500__2[[#This Row],[Age]]&lt;51,"36-50",IF(hospital_patient_unclean_500__2[[#This Row],[Age]]&lt;66,"51-65","66+"))))</f>
        <v>18-35</v>
      </c>
    </row>
    <row r="260" spans="1:16" x14ac:dyDescent="0.3">
      <c r="A260" s="5" t="s">
        <v>526</v>
      </c>
      <c r="B260" s="5" t="s">
        <v>824</v>
      </c>
      <c r="C260" s="6">
        <v>57</v>
      </c>
      <c r="D260" s="5" t="s">
        <v>17</v>
      </c>
      <c r="E260" s="5" t="s">
        <v>18</v>
      </c>
      <c r="F260" s="5" t="s">
        <v>28</v>
      </c>
      <c r="G260" s="5" t="s">
        <v>29</v>
      </c>
      <c r="H260" s="7">
        <v>45660</v>
      </c>
      <c r="I260" s="7">
        <v>45662</v>
      </c>
      <c r="J260" s="5" t="s">
        <v>30</v>
      </c>
      <c r="K260" s="5" t="s">
        <v>31</v>
      </c>
      <c r="L260" s="8">
        <v>138047.97</v>
      </c>
      <c r="M260" s="5" t="s">
        <v>47</v>
      </c>
      <c r="N260" s="5" t="s">
        <v>65</v>
      </c>
      <c r="O260" s="5" t="s">
        <v>34</v>
      </c>
      <c r="P260" s="5" t="str">
        <f>IF(hospital_patient_unclean_500__2[[#This Row],[Age]]&lt;18,"0-17",IF(hospital_patient_unclean_500__2[[#This Row],[Age]]&lt;36,"18-35",IF(hospital_patient_unclean_500__2[[#This Row],[Age]]&lt;51,"36-50",IF(hospital_patient_unclean_500__2[[#This Row],[Age]]&lt;66,"51-65","66+"))))</f>
        <v>51-65</v>
      </c>
    </row>
    <row r="261" spans="1:16" x14ac:dyDescent="0.3">
      <c r="A261" s="5" t="s">
        <v>527</v>
      </c>
      <c r="B261" s="5" t="s">
        <v>528</v>
      </c>
      <c r="C261" s="6">
        <v>35</v>
      </c>
      <c r="D261" s="5" t="s">
        <v>17</v>
      </c>
      <c r="E261" s="5" t="s">
        <v>18</v>
      </c>
      <c r="F261" s="5" t="s">
        <v>44</v>
      </c>
      <c r="G261" s="5" t="s">
        <v>45</v>
      </c>
      <c r="H261" s="7">
        <v>45853</v>
      </c>
      <c r="I261" s="7">
        <v>45863</v>
      </c>
      <c r="J261" s="5" t="s">
        <v>244</v>
      </c>
      <c r="K261" s="5" t="s">
        <v>280</v>
      </c>
      <c r="L261" s="8">
        <v>307451.11</v>
      </c>
      <c r="M261" s="5" t="s">
        <v>32</v>
      </c>
      <c r="N261" s="5" t="s">
        <v>48</v>
      </c>
      <c r="O261" s="5" t="s">
        <v>820</v>
      </c>
      <c r="P261" s="5" t="str">
        <f>IF(hospital_patient_unclean_500__2[[#This Row],[Age]]&lt;18,"0-17",IF(hospital_patient_unclean_500__2[[#This Row],[Age]]&lt;36,"18-35",IF(hospital_patient_unclean_500__2[[#This Row],[Age]]&lt;51,"36-50",IF(hospital_patient_unclean_500__2[[#This Row],[Age]]&lt;66,"51-65","66+"))))</f>
        <v>18-35</v>
      </c>
    </row>
    <row r="262" spans="1:16" x14ac:dyDescent="0.3">
      <c r="A262" s="5" t="s">
        <v>529</v>
      </c>
      <c r="B262" s="5" t="s">
        <v>388</v>
      </c>
      <c r="C262" s="6">
        <v>87</v>
      </c>
      <c r="D262" s="5" t="s">
        <v>51</v>
      </c>
      <c r="E262" s="5" t="s">
        <v>18</v>
      </c>
      <c r="F262" s="5" t="s">
        <v>38</v>
      </c>
      <c r="G262" s="5" t="s">
        <v>79</v>
      </c>
      <c r="H262" s="7">
        <v>45978</v>
      </c>
      <c r="I262" s="7">
        <v>45991</v>
      </c>
      <c r="J262" s="5" t="s">
        <v>828</v>
      </c>
      <c r="K262" s="5" t="s">
        <v>39</v>
      </c>
      <c r="L262" s="8">
        <v>34509.769999999997</v>
      </c>
      <c r="M262" s="5" t="s">
        <v>819</v>
      </c>
      <c r="N262" s="5" t="s">
        <v>48</v>
      </c>
      <c r="O262" s="5" t="s">
        <v>25</v>
      </c>
      <c r="P262" s="5" t="str">
        <f>IF(hospital_patient_unclean_500__2[[#This Row],[Age]]&lt;18,"0-17",IF(hospital_patient_unclean_500__2[[#This Row],[Age]]&lt;36,"18-35",IF(hospital_patient_unclean_500__2[[#This Row],[Age]]&lt;51,"36-50",IF(hospital_patient_unclean_500__2[[#This Row],[Age]]&lt;66,"51-65","66+"))))</f>
        <v>66+</v>
      </c>
    </row>
    <row r="263" spans="1:16" x14ac:dyDescent="0.3">
      <c r="A263" s="5" t="s">
        <v>530</v>
      </c>
      <c r="B263" s="5" t="s">
        <v>303</v>
      </c>
      <c r="C263" s="6">
        <v>19</v>
      </c>
      <c r="D263" s="5" t="s">
        <v>17</v>
      </c>
      <c r="E263" s="5" t="s">
        <v>84</v>
      </c>
      <c r="F263" s="5" t="s">
        <v>53</v>
      </c>
      <c r="G263" s="5" t="s">
        <v>143</v>
      </c>
      <c r="H263" s="7">
        <v>45758</v>
      </c>
      <c r="I263" s="7">
        <v>45765</v>
      </c>
      <c r="J263" s="5" t="s">
        <v>107</v>
      </c>
      <c r="K263" s="5" t="s">
        <v>108</v>
      </c>
      <c r="L263" s="8">
        <v>335846.84</v>
      </c>
      <c r="M263" s="5" t="s">
        <v>23</v>
      </c>
      <c r="N263" s="5" t="s">
        <v>61</v>
      </c>
      <c r="O263" s="5" t="s">
        <v>820</v>
      </c>
      <c r="P263" s="5" t="str">
        <f>IF(hospital_patient_unclean_500__2[[#This Row],[Age]]&lt;18,"0-17",IF(hospital_patient_unclean_500__2[[#This Row],[Age]]&lt;36,"18-35",IF(hospital_patient_unclean_500__2[[#This Row],[Age]]&lt;51,"36-50",IF(hospital_patient_unclean_500__2[[#This Row],[Age]]&lt;66,"51-65","66+"))))</f>
        <v>18-35</v>
      </c>
    </row>
    <row r="264" spans="1:16" x14ac:dyDescent="0.3">
      <c r="A264" s="5" t="s">
        <v>852</v>
      </c>
      <c r="B264" s="5" t="s">
        <v>307</v>
      </c>
      <c r="C264" s="6">
        <v>9</v>
      </c>
      <c r="D264" s="5" t="s">
        <v>17</v>
      </c>
      <c r="E264" s="5" t="s">
        <v>64</v>
      </c>
      <c r="F264" s="5" t="s">
        <v>19</v>
      </c>
      <c r="G264" s="5" t="s">
        <v>20</v>
      </c>
      <c r="H264" s="7">
        <v>45686</v>
      </c>
      <c r="I264" s="7">
        <v>45886</v>
      </c>
      <c r="J264" s="5" t="s">
        <v>120</v>
      </c>
      <c r="K264" s="5" t="s">
        <v>121</v>
      </c>
      <c r="L264" s="8">
        <v>221324.78</v>
      </c>
      <c r="M264" s="5" t="s">
        <v>819</v>
      </c>
      <c r="N264" s="5" t="s">
        <v>48</v>
      </c>
      <c r="O264" s="5" t="s">
        <v>41</v>
      </c>
      <c r="P264" s="5" t="str">
        <f>IF(hospital_patient_unclean_500__2[[#This Row],[Age]]&lt;18,"0-17",IF(hospital_patient_unclean_500__2[[#This Row],[Age]]&lt;36,"18-35",IF(hospital_patient_unclean_500__2[[#This Row],[Age]]&lt;51,"36-50",IF(hospital_patient_unclean_500__2[[#This Row],[Age]]&lt;66,"51-65","66+"))))</f>
        <v>0-17</v>
      </c>
    </row>
    <row r="265" spans="1:16" x14ac:dyDescent="0.3">
      <c r="A265" s="5" t="s">
        <v>531</v>
      </c>
      <c r="B265" s="5" t="s">
        <v>499</v>
      </c>
      <c r="C265" s="6">
        <v>66</v>
      </c>
      <c r="D265" s="5" t="s">
        <v>17</v>
      </c>
      <c r="E265" s="5" t="s">
        <v>68</v>
      </c>
      <c r="F265" s="5" t="s">
        <v>44</v>
      </c>
      <c r="G265" s="5" t="s">
        <v>45</v>
      </c>
      <c r="H265" s="7">
        <v>46007</v>
      </c>
      <c r="I265" s="7">
        <v>46007</v>
      </c>
      <c r="J265" s="5" t="s">
        <v>154</v>
      </c>
      <c r="K265" s="5" t="s">
        <v>155</v>
      </c>
      <c r="L265" s="8">
        <v>0</v>
      </c>
      <c r="M265" s="5" t="s">
        <v>32</v>
      </c>
      <c r="N265" s="5" t="s">
        <v>61</v>
      </c>
      <c r="O265" s="5" t="s">
        <v>41</v>
      </c>
      <c r="P265" s="5" t="str">
        <f>IF(hospital_patient_unclean_500__2[[#This Row],[Age]]&lt;18,"0-17",IF(hospital_patient_unclean_500__2[[#This Row],[Age]]&lt;36,"18-35",IF(hospital_patient_unclean_500__2[[#This Row],[Age]]&lt;51,"36-50",IF(hospital_patient_unclean_500__2[[#This Row],[Age]]&lt;66,"51-65","66+"))))</f>
        <v>66+</v>
      </c>
    </row>
    <row r="266" spans="1:16" x14ac:dyDescent="0.3">
      <c r="A266" s="5" t="s">
        <v>853</v>
      </c>
      <c r="B266" s="5" t="s">
        <v>319</v>
      </c>
      <c r="C266" s="6">
        <v>10</v>
      </c>
      <c r="D266" s="5" t="s">
        <v>17</v>
      </c>
      <c r="E266" s="5" t="s">
        <v>532</v>
      </c>
      <c r="F266" s="5" t="s">
        <v>87</v>
      </c>
      <c r="G266" s="5" t="s">
        <v>112</v>
      </c>
      <c r="H266" s="7">
        <v>45996</v>
      </c>
      <c r="I266" s="7">
        <v>46007</v>
      </c>
      <c r="J266" s="5" t="s">
        <v>819</v>
      </c>
      <c r="K266" s="5" t="s">
        <v>193</v>
      </c>
      <c r="L266" s="8">
        <v>337690.34</v>
      </c>
      <c r="M266" s="5" t="s">
        <v>32</v>
      </c>
      <c r="N266" s="5" t="s">
        <v>48</v>
      </c>
      <c r="O266" s="5" t="s">
        <v>34</v>
      </c>
      <c r="P266" s="5" t="str">
        <f>IF(hospital_patient_unclean_500__2[[#This Row],[Age]]&lt;18,"0-17",IF(hospital_patient_unclean_500__2[[#This Row],[Age]]&lt;36,"18-35",IF(hospital_patient_unclean_500__2[[#This Row],[Age]]&lt;51,"36-50",IF(hospital_patient_unclean_500__2[[#This Row],[Age]]&lt;66,"51-65","66+"))))</f>
        <v>0-17</v>
      </c>
    </row>
    <row r="267" spans="1:16" x14ac:dyDescent="0.3">
      <c r="A267" s="5" t="s">
        <v>533</v>
      </c>
      <c r="B267" s="5" t="s">
        <v>251</v>
      </c>
      <c r="C267" s="6">
        <v>64</v>
      </c>
      <c r="D267" s="5" t="s">
        <v>51</v>
      </c>
      <c r="E267" s="5" t="s">
        <v>86</v>
      </c>
      <c r="F267" s="5" t="s">
        <v>28</v>
      </c>
      <c r="G267" s="5" t="s">
        <v>101</v>
      </c>
      <c r="H267" s="7">
        <v>46007</v>
      </c>
      <c r="I267" s="7">
        <v>46012</v>
      </c>
      <c r="J267" s="5" t="s">
        <v>102</v>
      </c>
      <c r="K267" s="5" t="s">
        <v>103</v>
      </c>
      <c r="L267" s="8">
        <v>81267.360000000001</v>
      </c>
      <c r="M267" s="5" t="s">
        <v>23</v>
      </c>
      <c r="N267" s="5" t="s">
        <v>850</v>
      </c>
      <c r="O267" s="5" t="s">
        <v>820</v>
      </c>
      <c r="P267" s="5" t="str">
        <f>IF(hospital_patient_unclean_500__2[[#This Row],[Age]]&lt;18,"0-17",IF(hospital_patient_unclean_500__2[[#This Row],[Age]]&lt;36,"18-35",IF(hospital_patient_unclean_500__2[[#This Row],[Age]]&lt;51,"36-50",IF(hospital_patient_unclean_500__2[[#This Row],[Age]]&lt;66,"51-65","66+"))))</f>
        <v>51-65</v>
      </c>
    </row>
    <row r="268" spans="1:16" x14ac:dyDescent="0.3">
      <c r="A268" s="5" t="s">
        <v>534</v>
      </c>
      <c r="B268" s="5" t="s">
        <v>535</v>
      </c>
      <c r="C268" s="6">
        <v>12</v>
      </c>
      <c r="D268" s="5" t="s">
        <v>51</v>
      </c>
      <c r="E268" s="5" t="s">
        <v>37</v>
      </c>
      <c r="F268" s="5" t="s">
        <v>38</v>
      </c>
      <c r="G268" s="5" t="s">
        <v>167</v>
      </c>
      <c r="H268" s="7">
        <v>45668</v>
      </c>
      <c r="I268" s="7">
        <v>45670</v>
      </c>
      <c r="J268" s="5" t="s">
        <v>80</v>
      </c>
      <c r="K268" s="5" t="s">
        <v>81</v>
      </c>
      <c r="L268" s="8">
        <v>197038.65</v>
      </c>
      <c r="M268" s="5" t="s">
        <v>23</v>
      </c>
      <c r="N268" s="5" t="s">
        <v>48</v>
      </c>
      <c r="O268" s="5" t="s">
        <v>34</v>
      </c>
      <c r="P268" s="5" t="str">
        <f>IF(hospital_patient_unclean_500__2[[#This Row],[Age]]&lt;18,"0-17",IF(hospital_patient_unclean_500__2[[#This Row],[Age]]&lt;36,"18-35",IF(hospital_patient_unclean_500__2[[#This Row],[Age]]&lt;51,"36-50",IF(hospital_patient_unclean_500__2[[#This Row],[Age]]&lt;66,"51-65","66+"))))</f>
        <v>0-17</v>
      </c>
    </row>
    <row r="269" spans="1:16" x14ac:dyDescent="0.3">
      <c r="A269" s="5" t="s">
        <v>536</v>
      </c>
      <c r="B269" s="5" t="s">
        <v>432</v>
      </c>
      <c r="C269" s="6">
        <v>72</v>
      </c>
      <c r="D269" s="5" t="s">
        <v>17</v>
      </c>
      <c r="E269" s="5" t="s">
        <v>18</v>
      </c>
      <c r="F269" s="5" t="s">
        <v>19</v>
      </c>
      <c r="G269" s="5" t="s">
        <v>158</v>
      </c>
      <c r="H269" s="7">
        <v>45659</v>
      </c>
      <c r="I269" s="7">
        <v>45705</v>
      </c>
      <c r="J269" s="5" t="s">
        <v>180</v>
      </c>
      <c r="K269" s="5" t="s">
        <v>181</v>
      </c>
      <c r="L269" s="8">
        <v>68996.850000000006</v>
      </c>
      <c r="M269" s="5" t="s">
        <v>72</v>
      </c>
      <c r="N269" s="5" t="s">
        <v>48</v>
      </c>
      <c r="O269" s="5" t="s">
        <v>41</v>
      </c>
      <c r="P269" s="5" t="str">
        <f>IF(hospital_patient_unclean_500__2[[#This Row],[Age]]&lt;18,"0-17",IF(hospital_patient_unclean_500__2[[#This Row],[Age]]&lt;36,"18-35",IF(hospital_patient_unclean_500__2[[#This Row],[Age]]&lt;51,"36-50",IF(hospital_patient_unclean_500__2[[#This Row],[Age]]&lt;66,"51-65","66+"))))</f>
        <v>66+</v>
      </c>
    </row>
    <row r="270" spans="1:16" x14ac:dyDescent="0.3">
      <c r="A270" s="5" t="s">
        <v>537</v>
      </c>
      <c r="B270" s="5" t="s">
        <v>538</v>
      </c>
      <c r="C270" s="6">
        <v>34</v>
      </c>
      <c r="D270" s="5" t="s">
        <v>17</v>
      </c>
      <c r="E270" s="5" t="s">
        <v>68</v>
      </c>
      <c r="F270" s="5" t="s">
        <v>132</v>
      </c>
      <c r="G270" s="5" t="s">
        <v>138</v>
      </c>
      <c r="H270" s="7">
        <v>45736</v>
      </c>
      <c r="I270" s="7">
        <v>45739</v>
      </c>
      <c r="J270" s="5" t="s">
        <v>134</v>
      </c>
      <c r="K270" s="5" t="s">
        <v>135</v>
      </c>
      <c r="L270" s="8">
        <v>53213.08</v>
      </c>
      <c r="M270" s="5" t="s">
        <v>23</v>
      </c>
      <c r="N270" s="5" t="s">
        <v>65</v>
      </c>
      <c r="O270" s="5" t="s">
        <v>25</v>
      </c>
      <c r="P270" s="5" t="str">
        <f>IF(hospital_patient_unclean_500__2[[#This Row],[Age]]&lt;18,"0-17",IF(hospital_patient_unclean_500__2[[#This Row],[Age]]&lt;36,"18-35",IF(hospital_patient_unclean_500__2[[#This Row],[Age]]&lt;51,"36-50",IF(hospital_patient_unclean_500__2[[#This Row],[Age]]&lt;66,"51-65","66+"))))</f>
        <v>18-35</v>
      </c>
    </row>
    <row r="271" spans="1:16" x14ac:dyDescent="0.3">
      <c r="A271" s="5" t="s">
        <v>539</v>
      </c>
      <c r="B271" s="5" t="s">
        <v>333</v>
      </c>
      <c r="C271" s="6">
        <v>45</v>
      </c>
      <c r="D271" s="5" t="s">
        <v>17</v>
      </c>
      <c r="E271" s="5" t="s">
        <v>18</v>
      </c>
      <c r="F271" s="5" t="s">
        <v>44</v>
      </c>
      <c r="G271" s="5" t="s">
        <v>45</v>
      </c>
      <c r="H271" s="7">
        <v>45904</v>
      </c>
      <c r="I271" s="7">
        <v>45920</v>
      </c>
      <c r="J271" s="5" t="s">
        <v>830</v>
      </c>
      <c r="K271" s="5" t="s">
        <v>46</v>
      </c>
      <c r="L271" s="8">
        <v>280669.32</v>
      </c>
      <c r="M271" s="5" t="s">
        <v>40</v>
      </c>
      <c r="N271" s="5" t="s">
        <v>61</v>
      </c>
      <c r="O271" s="5" t="s">
        <v>25</v>
      </c>
      <c r="P271" s="5" t="str">
        <f>IF(hospital_patient_unclean_500__2[[#This Row],[Age]]&lt;18,"0-17",IF(hospital_patient_unclean_500__2[[#This Row],[Age]]&lt;36,"18-35",IF(hospital_patient_unclean_500__2[[#This Row],[Age]]&lt;51,"36-50",IF(hospital_patient_unclean_500__2[[#This Row],[Age]]&lt;66,"51-65","66+"))))</f>
        <v>36-50</v>
      </c>
    </row>
    <row r="272" spans="1:16" x14ac:dyDescent="0.3">
      <c r="A272" s="5" t="s">
        <v>540</v>
      </c>
      <c r="B272" s="5" t="s">
        <v>305</v>
      </c>
      <c r="C272" s="6">
        <v>31</v>
      </c>
      <c r="D272" s="5" t="s">
        <v>17</v>
      </c>
      <c r="E272" s="5" t="s">
        <v>52</v>
      </c>
      <c r="F272" s="5" t="s">
        <v>132</v>
      </c>
      <c r="G272" s="5" t="s">
        <v>133</v>
      </c>
      <c r="H272" s="7">
        <v>45751</v>
      </c>
      <c r="I272" s="7">
        <v>45823</v>
      </c>
      <c r="J272" s="5" t="s">
        <v>134</v>
      </c>
      <c r="K272" s="5" t="s">
        <v>135</v>
      </c>
      <c r="L272" s="8">
        <v>260700.39</v>
      </c>
      <c r="M272" s="5" t="s">
        <v>47</v>
      </c>
      <c r="N272" s="5" t="s">
        <v>24</v>
      </c>
      <c r="O272" s="5" t="s">
        <v>93</v>
      </c>
      <c r="P272" s="5" t="str">
        <f>IF(hospital_patient_unclean_500__2[[#This Row],[Age]]&lt;18,"0-17",IF(hospital_patient_unclean_500__2[[#This Row],[Age]]&lt;36,"18-35",IF(hospital_patient_unclean_500__2[[#This Row],[Age]]&lt;51,"36-50",IF(hospital_patient_unclean_500__2[[#This Row],[Age]]&lt;66,"51-65","66+"))))</f>
        <v>18-35</v>
      </c>
    </row>
    <row r="273" spans="1:16" x14ac:dyDescent="0.3">
      <c r="A273" s="5" t="s">
        <v>541</v>
      </c>
      <c r="B273" s="5" t="s">
        <v>119</v>
      </c>
      <c r="C273" s="6">
        <v>31</v>
      </c>
      <c r="D273" s="5" t="s">
        <v>17</v>
      </c>
      <c r="E273" s="5" t="s">
        <v>124</v>
      </c>
      <c r="F273" s="5" t="s">
        <v>53</v>
      </c>
      <c r="G273" s="5" t="s">
        <v>54</v>
      </c>
      <c r="H273" s="7">
        <v>45849</v>
      </c>
      <c r="I273" s="7">
        <v>45849</v>
      </c>
      <c r="J273" s="5" t="s">
        <v>819</v>
      </c>
      <c r="K273" s="5" t="s">
        <v>108</v>
      </c>
      <c r="L273" s="8">
        <v>270122.58</v>
      </c>
      <c r="M273" s="5" t="s">
        <v>47</v>
      </c>
      <c r="N273" s="5" t="s">
        <v>65</v>
      </c>
      <c r="O273" s="5" t="s">
        <v>25</v>
      </c>
      <c r="P273" s="5" t="str">
        <f>IF(hospital_patient_unclean_500__2[[#This Row],[Age]]&lt;18,"0-17",IF(hospital_patient_unclean_500__2[[#This Row],[Age]]&lt;36,"18-35",IF(hospital_patient_unclean_500__2[[#This Row],[Age]]&lt;51,"36-50",IF(hospital_patient_unclean_500__2[[#This Row],[Age]]&lt;66,"51-65","66+"))))</f>
        <v>18-35</v>
      </c>
    </row>
    <row r="274" spans="1:16" x14ac:dyDescent="0.3">
      <c r="A274" s="5" t="s">
        <v>542</v>
      </c>
      <c r="B274" s="5" t="s">
        <v>543</v>
      </c>
      <c r="C274" s="6">
        <v>28</v>
      </c>
      <c r="D274" s="5" t="s">
        <v>17</v>
      </c>
      <c r="E274" s="5" t="s">
        <v>52</v>
      </c>
      <c r="F274" s="5" t="s">
        <v>87</v>
      </c>
      <c r="G274" s="5" t="s">
        <v>324</v>
      </c>
      <c r="H274" s="7">
        <v>45712</v>
      </c>
      <c r="I274" s="7">
        <v>45726</v>
      </c>
      <c r="J274" s="5" t="s">
        <v>89</v>
      </c>
      <c r="K274" s="5" t="s">
        <v>92</v>
      </c>
      <c r="L274" s="8">
        <v>57284.61</v>
      </c>
      <c r="M274" s="5" t="s">
        <v>60</v>
      </c>
      <c r="N274" s="5" t="s">
        <v>61</v>
      </c>
      <c r="O274" s="5" t="s">
        <v>34</v>
      </c>
      <c r="P274" s="5" t="str">
        <f>IF(hospital_patient_unclean_500__2[[#This Row],[Age]]&lt;18,"0-17",IF(hospital_patient_unclean_500__2[[#This Row],[Age]]&lt;36,"18-35",IF(hospital_patient_unclean_500__2[[#This Row],[Age]]&lt;51,"36-50",IF(hospital_patient_unclean_500__2[[#This Row],[Age]]&lt;66,"51-65","66+"))))</f>
        <v>18-35</v>
      </c>
    </row>
    <row r="275" spans="1:16" x14ac:dyDescent="0.3">
      <c r="A275" s="5" t="s">
        <v>544</v>
      </c>
      <c r="B275" s="5" t="s">
        <v>545</v>
      </c>
      <c r="C275" s="6">
        <v>69</v>
      </c>
      <c r="D275" s="5" t="s">
        <v>51</v>
      </c>
      <c r="E275" s="5" t="s">
        <v>84</v>
      </c>
      <c r="F275" s="5" t="s">
        <v>28</v>
      </c>
      <c r="G275" s="5" t="s">
        <v>101</v>
      </c>
      <c r="H275" s="7">
        <v>45873</v>
      </c>
      <c r="I275" s="7">
        <v>45886</v>
      </c>
      <c r="J275" s="5" t="s">
        <v>75</v>
      </c>
      <c r="K275" s="5" t="s">
        <v>76</v>
      </c>
      <c r="L275" s="8">
        <v>249634.54</v>
      </c>
      <c r="M275" s="5" t="s">
        <v>23</v>
      </c>
      <c r="N275" s="5" t="s">
        <v>33</v>
      </c>
      <c r="O275" s="5" t="s">
        <v>820</v>
      </c>
      <c r="P275" s="5" t="str">
        <f>IF(hospital_patient_unclean_500__2[[#This Row],[Age]]&lt;18,"0-17",IF(hospital_patient_unclean_500__2[[#This Row],[Age]]&lt;36,"18-35",IF(hospital_patient_unclean_500__2[[#This Row],[Age]]&lt;51,"36-50",IF(hospital_patient_unclean_500__2[[#This Row],[Age]]&lt;66,"51-65","66+"))))</f>
        <v>66+</v>
      </c>
    </row>
    <row r="276" spans="1:16" x14ac:dyDescent="0.3">
      <c r="A276" s="5" t="s">
        <v>546</v>
      </c>
      <c r="B276" s="5" t="s">
        <v>509</v>
      </c>
      <c r="C276" s="6">
        <v>9</v>
      </c>
      <c r="D276" s="5" t="s">
        <v>51</v>
      </c>
      <c r="E276" s="5" t="s">
        <v>84</v>
      </c>
      <c r="F276" s="5" t="s">
        <v>19</v>
      </c>
      <c r="G276" s="5" t="s">
        <v>105</v>
      </c>
      <c r="H276" s="7">
        <v>45882</v>
      </c>
      <c r="I276" s="7">
        <v>45890</v>
      </c>
      <c r="J276" s="5" t="s">
        <v>180</v>
      </c>
      <c r="K276" s="5" t="s">
        <v>181</v>
      </c>
      <c r="L276" s="8">
        <v>256236.26</v>
      </c>
      <c r="M276" s="5" t="s">
        <v>40</v>
      </c>
      <c r="N276" s="5" t="s">
        <v>48</v>
      </c>
      <c r="O276" s="5" t="s">
        <v>93</v>
      </c>
      <c r="P276" s="5" t="str">
        <f>IF(hospital_patient_unclean_500__2[[#This Row],[Age]]&lt;18,"0-17",IF(hospital_patient_unclean_500__2[[#This Row],[Age]]&lt;36,"18-35",IF(hospital_patient_unclean_500__2[[#This Row],[Age]]&lt;51,"36-50",IF(hospital_patient_unclean_500__2[[#This Row],[Age]]&lt;66,"51-65","66+"))))</f>
        <v>0-17</v>
      </c>
    </row>
    <row r="277" spans="1:16" x14ac:dyDescent="0.3">
      <c r="A277" s="5" t="s">
        <v>547</v>
      </c>
      <c r="B277" s="5" t="s">
        <v>379</v>
      </c>
      <c r="C277" s="6">
        <v>29</v>
      </c>
      <c r="D277" s="5" t="s">
        <v>51</v>
      </c>
      <c r="E277" s="5" t="s">
        <v>18</v>
      </c>
      <c r="F277" s="5" t="s">
        <v>19</v>
      </c>
      <c r="G277" s="5" t="s">
        <v>819</v>
      </c>
      <c r="H277" s="7">
        <v>45732</v>
      </c>
      <c r="I277" s="7">
        <v>45741</v>
      </c>
      <c r="J277" s="5" t="s">
        <v>819</v>
      </c>
      <c r="K277" s="5" t="s">
        <v>181</v>
      </c>
      <c r="L277" s="8">
        <v>201132.98</v>
      </c>
      <c r="M277" s="5" t="s">
        <v>99</v>
      </c>
      <c r="N277" s="5" t="s">
        <v>33</v>
      </c>
      <c r="O277" s="5" t="s">
        <v>25</v>
      </c>
      <c r="P277" s="5" t="str">
        <f>IF(hospital_patient_unclean_500__2[[#This Row],[Age]]&lt;18,"0-17",IF(hospital_patient_unclean_500__2[[#This Row],[Age]]&lt;36,"18-35",IF(hospital_patient_unclean_500__2[[#This Row],[Age]]&lt;51,"36-50",IF(hospital_patient_unclean_500__2[[#This Row],[Age]]&lt;66,"51-65","66+"))))</f>
        <v>18-35</v>
      </c>
    </row>
    <row r="278" spans="1:16" x14ac:dyDescent="0.3">
      <c r="A278" s="5" t="s">
        <v>548</v>
      </c>
      <c r="B278" s="5" t="s">
        <v>549</v>
      </c>
      <c r="C278" s="6">
        <v>68</v>
      </c>
      <c r="D278" s="5" t="s">
        <v>51</v>
      </c>
      <c r="E278" s="5" t="s">
        <v>86</v>
      </c>
      <c r="F278" s="5" t="s">
        <v>44</v>
      </c>
      <c r="G278" s="5" t="s">
        <v>221</v>
      </c>
      <c r="H278" s="7">
        <v>45720</v>
      </c>
      <c r="I278" s="7">
        <v>45733</v>
      </c>
      <c r="J278" s="5" t="s">
        <v>232</v>
      </c>
      <c r="K278" s="5" t="s">
        <v>160</v>
      </c>
      <c r="L278" s="8">
        <v>185996.43</v>
      </c>
      <c r="M278" s="5" t="s">
        <v>60</v>
      </c>
      <c r="N278" s="5" t="s">
        <v>61</v>
      </c>
      <c r="O278" s="5" t="s">
        <v>820</v>
      </c>
      <c r="P278" s="5" t="str">
        <f>IF(hospital_patient_unclean_500__2[[#This Row],[Age]]&lt;18,"0-17",IF(hospital_patient_unclean_500__2[[#This Row],[Age]]&lt;36,"18-35",IF(hospital_patient_unclean_500__2[[#This Row],[Age]]&lt;51,"36-50",IF(hospital_patient_unclean_500__2[[#This Row],[Age]]&lt;66,"51-65","66+"))))</f>
        <v>66+</v>
      </c>
    </row>
    <row r="279" spans="1:16" x14ac:dyDescent="0.3">
      <c r="A279" s="5" t="s">
        <v>550</v>
      </c>
      <c r="B279" s="5" t="s">
        <v>95</v>
      </c>
      <c r="C279" s="6">
        <v>21</v>
      </c>
      <c r="D279" s="5" t="s">
        <v>17</v>
      </c>
      <c r="E279" s="5" t="s">
        <v>37</v>
      </c>
      <c r="F279" s="5" t="s">
        <v>19</v>
      </c>
      <c r="G279" s="5" t="s">
        <v>20</v>
      </c>
      <c r="H279" s="7">
        <v>45668</v>
      </c>
      <c r="I279" s="7">
        <v>45675</v>
      </c>
      <c r="J279" s="5" t="s">
        <v>120</v>
      </c>
      <c r="K279" s="5" t="s">
        <v>121</v>
      </c>
      <c r="L279" s="8">
        <v>215957.52</v>
      </c>
      <c r="M279" s="5" t="s">
        <v>23</v>
      </c>
      <c r="N279" s="5" t="s">
        <v>48</v>
      </c>
      <c r="O279" s="5" t="s">
        <v>820</v>
      </c>
      <c r="P279" s="5" t="str">
        <f>IF(hospital_patient_unclean_500__2[[#This Row],[Age]]&lt;18,"0-17",IF(hospital_patient_unclean_500__2[[#This Row],[Age]]&lt;36,"18-35",IF(hospital_patient_unclean_500__2[[#This Row],[Age]]&lt;51,"36-50",IF(hospital_patient_unclean_500__2[[#This Row],[Age]]&lt;66,"51-65","66+"))))</f>
        <v>18-35</v>
      </c>
    </row>
    <row r="280" spans="1:16" x14ac:dyDescent="0.3">
      <c r="A280" s="5" t="s">
        <v>551</v>
      </c>
      <c r="B280" s="5" t="s">
        <v>552</v>
      </c>
      <c r="C280" s="6">
        <v>85</v>
      </c>
      <c r="D280" s="5" t="s">
        <v>17</v>
      </c>
      <c r="E280" s="5" t="s">
        <v>84</v>
      </c>
      <c r="F280" s="5" t="s">
        <v>132</v>
      </c>
      <c r="G280" s="5" t="s">
        <v>133</v>
      </c>
      <c r="H280" s="7">
        <v>45985</v>
      </c>
      <c r="I280" s="7">
        <v>46002</v>
      </c>
      <c r="J280" s="5" t="s">
        <v>173</v>
      </c>
      <c r="K280" s="5" t="s">
        <v>174</v>
      </c>
      <c r="L280" s="8">
        <v>222845.48</v>
      </c>
      <c r="M280" s="5" t="s">
        <v>23</v>
      </c>
      <c r="N280" s="5" t="s">
        <v>65</v>
      </c>
      <c r="O280" s="5" t="s">
        <v>820</v>
      </c>
      <c r="P280" s="5" t="str">
        <f>IF(hospital_patient_unclean_500__2[[#This Row],[Age]]&lt;18,"0-17",IF(hospital_patient_unclean_500__2[[#This Row],[Age]]&lt;36,"18-35",IF(hospital_patient_unclean_500__2[[#This Row],[Age]]&lt;51,"36-50",IF(hospital_patient_unclean_500__2[[#This Row],[Age]]&lt;66,"51-65","66+"))))</f>
        <v>66+</v>
      </c>
    </row>
    <row r="281" spans="1:16" x14ac:dyDescent="0.3">
      <c r="A281" s="5" t="s">
        <v>553</v>
      </c>
      <c r="B281" s="5" t="s">
        <v>412</v>
      </c>
      <c r="C281" s="6">
        <v>53</v>
      </c>
      <c r="D281" s="5" t="s">
        <v>17</v>
      </c>
      <c r="E281" s="5" t="s">
        <v>37</v>
      </c>
      <c r="F281" s="5" t="s">
        <v>19</v>
      </c>
      <c r="G281" s="5" t="s">
        <v>105</v>
      </c>
      <c r="H281" s="7">
        <v>46002</v>
      </c>
      <c r="I281" s="7">
        <v>46015</v>
      </c>
      <c r="J281" s="5" t="s">
        <v>267</v>
      </c>
      <c r="K281" s="5" t="s">
        <v>268</v>
      </c>
      <c r="L281" s="8">
        <v>263822.09000000003</v>
      </c>
      <c r="M281" s="5" t="s">
        <v>60</v>
      </c>
      <c r="N281" s="5" t="s">
        <v>33</v>
      </c>
      <c r="O281" s="5" t="s">
        <v>93</v>
      </c>
      <c r="P281" s="5" t="str">
        <f>IF(hospital_patient_unclean_500__2[[#This Row],[Age]]&lt;18,"0-17",IF(hospital_patient_unclean_500__2[[#This Row],[Age]]&lt;36,"18-35",IF(hospital_patient_unclean_500__2[[#This Row],[Age]]&lt;51,"36-50",IF(hospital_patient_unclean_500__2[[#This Row],[Age]]&lt;66,"51-65","66+"))))</f>
        <v>51-65</v>
      </c>
    </row>
    <row r="282" spans="1:16" x14ac:dyDescent="0.3">
      <c r="A282" s="5" t="s">
        <v>554</v>
      </c>
      <c r="B282" s="5" t="s">
        <v>384</v>
      </c>
      <c r="C282" s="6">
        <v>42</v>
      </c>
      <c r="D282" s="5" t="s">
        <v>51</v>
      </c>
      <c r="E282" s="5" t="s">
        <v>68</v>
      </c>
      <c r="F282" s="5" t="s">
        <v>19</v>
      </c>
      <c r="G282" s="5" t="s">
        <v>105</v>
      </c>
      <c r="H282" s="7">
        <v>45845</v>
      </c>
      <c r="I282" s="7">
        <v>45847</v>
      </c>
      <c r="J282" s="5" t="s">
        <v>819</v>
      </c>
      <c r="K282" s="5" t="s">
        <v>181</v>
      </c>
      <c r="L282" s="8">
        <v>104636.58</v>
      </c>
      <c r="M282" s="5" t="s">
        <v>60</v>
      </c>
      <c r="N282" s="5" t="s">
        <v>61</v>
      </c>
      <c r="O282" s="5" t="s">
        <v>34</v>
      </c>
      <c r="P282" s="5" t="str">
        <f>IF(hospital_patient_unclean_500__2[[#This Row],[Age]]&lt;18,"0-17",IF(hospital_patient_unclean_500__2[[#This Row],[Age]]&lt;36,"18-35",IF(hospital_patient_unclean_500__2[[#This Row],[Age]]&lt;51,"36-50",IF(hospital_patient_unclean_500__2[[#This Row],[Age]]&lt;66,"51-65","66+"))))</f>
        <v>36-50</v>
      </c>
    </row>
    <row r="283" spans="1:16" x14ac:dyDescent="0.3">
      <c r="A283" s="5" t="s">
        <v>555</v>
      </c>
      <c r="B283" s="5" t="s">
        <v>243</v>
      </c>
      <c r="C283" s="6">
        <v>43</v>
      </c>
      <c r="D283" s="5" t="s">
        <v>51</v>
      </c>
      <c r="E283" s="5" t="s">
        <v>819</v>
      </c>
      <c r="F283" s="5" t="s">
        <v>38</v>
      </c>
      <c r="G283" s="5" t="s">
        <v>79</v>
      </c>
      <c r="H283" s="7">
        <v>45889</v>
      </c>
      <c r="I283" s="7">
        <v>45893</v>
      </c>
      <c r="J283" s="5" t="s">
        <v>828</v>
      </c>
      <c r="K283" s="5" t="s">
        <v>39</v>
      </c>
      <c r="L283" s="8">
        <v>28616.080000000002</v>
      </c>
      <c r="M283" s="5" t="s">
        <v>32</v>
      </c>
      <c r="N283" s="5" t="s">
        <v>65</v>
      </c>
      <c r="O283" s="5" t="s">
        <v>34</v>
      </c>
      <c r="P283" s="5" t="str">
        <f>IF(hospital_patient_unclean_500__2[[#This Row],[Age]]&lt;18,"0-17",IF(hospital_patient_unclean_500__2[[#This Row],[Age]]&lt;36,"18-35",IF(hospital_patient_unclean_500__2[[#This Row],[Age]]&lt;51,"36-50",IF(hospital_patient_unclean_500__2[[#This Row],[Age]]&lt;66,"51-65","66+"))))</f>
        <v>36-50</v>
      </c>
    </row>
    <row r="284" spans="1:16" x14ac:dyDescent="0.3">
      <c r="A284" s="5" t="s">
        <v>556</v>
      </c>
      <c r="B284" s="5" t="s">
        <v>425</v>
      </c>
      <c r="C284" s="6">
        <v>65</v>
      </c>
      <c r="D284" s="5" t="s">
        <v>51</v>
      </c>
      <c r="E284" s="5" t="s">
        <v>84</v>
      </c>
      <c r="F284" s="5" t="s">
        <v>38</v>
      </c>
      <c r="G284" s="5" t="s">
        <v>167</v>
      </c>
      <c r="H284" s="7">
        <v>45944</v>
      </c>
      <c r="I284" s="7">
        <v>45957</v>
      </c>
      <c r="J284" s="5" t="s">
        <v>80</v>
      </c>
      <c r="K284" s="5" t="s">
        <v>81</v>
      </c>
      <c r="L284" s="8">
        <v>213497.15</v>
      </c>
      <c r="M284" s="5" t="s">
        <v>40</v>
      </c>
      <c r="N284" s="5" t="s">
        <v>33</v>
      </c>
      <c r="O284" s="5" t="s">
        <v>93</v>
      </c>
      <c r="P284" s="5" t="str">
        <f>IF(hospital_patient_unclean_500__2[[#This Row],[Age]]&lt;18,"0-17",IF(hospital_patient_unclean_500__2[[#This Row],[Age]]&lt;36,"18-35",IF(hospital_patient_unclean_500__2[[#This Row],[Age]]&lt;51,"36-50",IF(hospital_patient_unclean_500__2[[#This Row],[Age]]&lt;66,"51-65","66+"))))</f>
        <v>51-65</v>
      </c>
    </row>
    <row r="285" spans="1:16" x14ac:dyDescent="0.3">
      <c r="A285" s="5" t="s">
        <v>557</v>
      </c>
      <c r="B285" s="5" t="s">
        <v>313</v>
      </c>
      <c r="C285" s="6">
        <v>59</v>
      </c>
      <c r="D285" s="5" t="s">
        <v>96</v>
      </c>
      <c r="E285" s="5" t="s">
        <v>64</v>
      </c>
      <c r="F285" s="5" t="s">
        <v>44</v>
      </c>
      <c r="G285" s="5" t="s">
        <v>45</v>
      </c>
      <c r="H285" s="7">
        <v>45809</v>
      </c>
      <c r="I285" s="7">
        <v>45819</v>
      </c>
      <c r="J285" s="5" t="s">
        <v>232</v>
      </c>
      <c r="K285" s="5" t="s">
        <v>160</v>
      </c>
      <c r="L285" s="8">
        <v>0</v>
      </c>
      <c r="M285" s="5" t="s">
        <v>72</v>
      </c>
      <c r="N285" s="5" t="s">
        <v>65</v>
      </c>
      <c r="O285" s="5" t="s">
        <v>93</v>
      </c>
      <c r="P285" s="5" t="str">
        <f>IF(hospital_patient_unclean_500__2[[#This Row],[Age]]&lt;18,"0-17",IF(hospital_patient_unclean_500__2[[#This Row],[Age]]&lt;36,"18-35",IF(hospital_patient_unclean_500__2[[#This Row],[Age]]&lt;51,"36-50",IF(hospital_patient_unclean_500__2[[#This Row],[Age]]&lt;66,"51-65","66+"))))</f>
        <v>51-65</v>
      </c>
    </row>
    <row r="286" spans="1:16" x14ac:dyDescent="0.3">
      <c r="A286" s="5" t="s">
        <v>558</v>
      </c>
      <c r="B286" s="5" t="s">
        <v>819</v>
      </c>
      <c r="C286" s="6">
        <v>44</v>
      </c>
      <c r="D286" s="5" t="s">
        <v>51</v>
      </c>
      <c r="E286" s="5" t="s">
        <v>86</v>
      </c>
      <c r="F286" s="5" t="s">
        <v>87</v>
      </c>
      <c r="G286" s="5" t="s">
        <v>88</v>
      </c>
      <c r="H286" s="7">
        <v>45806</v>
      </c>
      <c r="I286" s="7">
        <v>45832</v>
      </c>
      <c r="J286" s="5" t="s">
        <v>192</v>
      </c>
      <c r="K286" s="5" t="s">
        <v>193</v>
      </c>
      <c r="L286" s="8">
        <v>300360.06</v>
      </c>
      <c r="M286" s="5" t="s">
        <v>60</v>
      </c>
      <c r="N286" s="5" t="s">
        <v>24</v>
      </c>
      <c r="O286" s="5" t="s">
        <v>41</v>
      </c>
      <c r="P286" s="5" t="str">
        <f>IF(hospital_patient_unclean_500__2[[#This Row],[Age]]&lt;18,"0-17",IF(hospital_patient_unclean_500__2[[#This Row],[Age]]&lt;36,"18-35",IF(hospital_patient_unclean_500__2[[#This Row],[Age]]&lt;51,"36-50",IF(hospital_patient_unclean_500__2[[#This Row],[Age]]&lt;66,"51-65","66+"))))</f>
        <v>36-50</v>
      </c>
    </row>
    <row r="287" spans="1:16" x14ac:dyDescent="0.3">
      <c r="A287" s="5" t="s">
        <v>559</v>
      </c>
      <c r="B287" s="5" t="s">
        <v>58</v>
      </c>
      <c r="C287" s="6">
        <v>8</v>
      </c>
      <c r="D287" s="5" t="s">
        <v>51</v>
      </c>
      <c r="E287" s="5" t="s">
        <v>64</v>
      </c>
      <c r="F287" s="5" t="s">
        <v>132</v>
      </c>
      <c r="G287" s="5" t="s">
        <v>223</v>
      </c>
      <c r="H287" s="7">
        <v>45948</v>
      </c>
      <c r="I287" s="7">
        <v>45948</v>
      </c>
      <c r="J287" s="5" t="s">
        <v>173</v>
      </c>
      <c r="K287" s="5" t="s">
        <v>174</v>
      </c>
      <c r="L287" s="8">
        <v>125286.57</v>
      </c>
      <c r="M287" s="5" t="s">
        <v>60</v>
      </c>
      <c r="N287" s="5" t="s">
        <v>61</v>
      </c>
      <c r="O287" s="5" t="s">
        <v>41</v>
      </c>
      <c r="P287" s="5" t="str">
        <f>IF(hospital_patient_unclean_500__2[[#This Row],[Age]]&lt;18,"0-17",IF(hospital_patient_unclean_500__2[[#This Row],[Age]]&lt;36,"18-35",IF(hospital_patient_unclean_500__2[[#This Row],[Age]]&lt;51,"36-50",IF(hospital_patient_unclean_500__2[[#This Row],[Age]]&lt;66,"51-65","66+"))))</f>
        <v>0-17</v>
      </c>
    </row>
    <row r="288" spans="1:16" x14ac:dyDescent="0.3">
      <c r="A288" s="5" t="s">
        <v>560</v>
      </c>
      <c r="B288" s="5" t="s">
        <v>561</v>
      </c>
      <c r="C288" s="6">
        <v>79</v>
      </c>
      <c r="D288" s="5" t="s">
        <v>17</v>
      </c>
      <c r="E288" s="5" t="s">
        <v>52</v>
      </c>
      <c r="F288" s="5" t="s">
        <v>28</v>
      </c>
      <c r="G288" s="5" t="s">
        <v>101</v>
      </c>
      <c r="H288" s="7">
        <v>45838</v>
      </c>
      <c r="I288" s="7">
        <v>45844</v>
      </c>
      <c r="J288" s="5" t="s">
        <v>189</v>
      </c>
      <c r="K288" s="5" t="s">
        <v>835</v>
      </c>
      <c r="L288" s="8">
        <v>192719.37</v>
      </c>
      <c r="M288" s="5" t="s">
        <v>32</v>
      </c>
      <c r="N288" s="5" t="s">
        <v>24</v>
      </c>
      <c r="O288" s="5" t="s">
        <v>819</v>
      </c>
      <c r="P288" s="5" t="str">
        <f>IF(hospital_patient_unclean_500__2[[#This Row],[Age]]&lt;18,"0-17",IF(hospital_patient_unclean_500__2[[#This Row],[Age]]&lt;36,"18-35",IF(hospital_patient_unclean_500__2[[#This Row],[Age]]&lt;51,"36-50",IF(hospital_patient_unclean_500__2[[#This Row],[Age]]&lt;66,"51-65","66+"))))</f>
        <v>66+</v>
      </c>
    </row>
    <row r="289" spans="1:16" x14ac:dyDescent="0.3">
      <c r="A289" s="5" t="s">
        <v>562</v>
      </c>
      <c r="B289" s="5" t="s">
        <v>825</v>
      </c>
      <c r="C289" s="6">
        <v>65</v>
      </c>
      <c r="D289" s="5" t="s">
        <v>51</v>
      </c>
      <c r="E289" s="5" t="s">
        <v>68</v>
      </c>
      <c r="F289" s="5" t="s">
        <v>819</v>
      </c>
      <c r="G289" s="5" t="s">
        <v>29</v>
      </c>
      <c r="H289" s="7">
        <v>45872</v>
      </c>
      <c r="I289" s="7">
        <v>45917</v>
      </c>
      <c r="J289" s="5" t="s">
        <v>75</v>
      </c>
      <c r="K289" s="5" t="s">
        <v>76</v>
      </c>
      <c r="L289" s="8">
        <v>192719.37</v>
      </c>
      <c r="M289" s="5" t="s">
        <v>32</v>
      </c>
      <c r="N289" s="5" t="s">
        <v>48</v>
      </c>
      <c r="O289" s="5" t="s">
        <v>41</v>
      </c>
      <c r="P289" s="5" t="str">
        <f>IF(hospital_patient_unclean_500__2[[#This Row],[Age]]&lt;18,"0-17",IF(hospital_patient_unclean_500__2[[#This Row],[Age]]&lt;36,"18-35",IF(hospital_patient_unclean_500__2[[#This Row],[Age]]&lt;51,"36-50",IF(hospital_patient_unclean_500__2[[#This Row],[Age]]&lt;66,"51-65","66+"))))</f>
        <v>51-65</v>
      </c>
    </row>
    <row r="290" spans="1:16" x14ac:dyDescent="0.3">
      <c r="A290" s="5" t="s">
        <v>563</v>
      </c>
      <c r="B290" s="5" t="s">
        <v>564</v>
      </c>
      <c r="C290" s="6">
        <v>53</v>
      </c>
      <c r="D290" s="5" t="s">
        <v>17</v>
      </c>
      <c r="E290" s="5" t="s">
        <v>64</v>
      </c>
      <c r="F290" s="5" t="s">
        <v>132</v>
      </c>
      <c r="G290" s="5" t="s">
        <v>223</v>
      </c>
      <c r="H290" s="7">
        <v>45983</v>
      </c>
      <c r="I290" s="7">
        <v>45989</v>
      </c>
      <c r="J290" s="5" t="s">
        <v>173</v>
      </c>
      <c r="K290" s="5" t="s">
        <v>174</v>
      </c>
      <c r="L290" s="8">
        <v>150874.89000000001</v>
      </c>
      <c r="M290" s="5" t="s">
        <v>47</v>
      </c>
      <c r="N290" s="5" t="s">
        <v>65</v>
      </c>
      <c r="O290" s="5" t="s">
        <v>25</v>
      </c>
      <c r="P290" s="5" t="str">
        <f>IF(hospital_patient_unclean_500__2[[#This Row],[Age]]&lt;18,"0-17",IF(hospital_patient_unclean_500__2[[#This Row],[Age]]&lt;36,"18-35",IF(hospital_patient_unclean_500__2[[#This Row],[Age]]&lt;51,"36-50",IF(hospital_patient_unclean_500__2[[#This Row],[Age]]&lt;66,"51-65","66+"))))</f>
        <v>51-65</v>
      </c>
    </row>
    <row r="291" spans="1:16" x14ac:dyDescent="0.3">
      <c r="A291" s="5" t="s">
        <v>565</v>
      </c>
      <c r="B291" s="5" t="s">
        <v>505</v>
      </c>
      <c r="C291" s="6">
        <v>16</v>
      </c>
      <c r="D291" s="5" t="s">
        <v>17</v>
      </c>
      <c r="E291" s="5" t="s">
        <v>64</v>
      </c>
      <c r="F291" s="5" t="s">
        <v>19</v>
      </c>
      <c r="G291" s="5" t="s">
        <v>158</v>
      </c>
      <c r="H291" s="7">
        <v>45839</v>
      </c>
      <c r="I291" s="7">
        <v>45845</v>
      </c>
      <c r="J291" s="5" t="s">
        <v>267</v>
      </c>
      <c r="K291" s="5" t="s">
        <v>268</v>
      </c>
      <c r="L291" s="8">
        <v>161842.22</v>
      </c>
      <c r="M291" s="5" t="s">
        <v>32</v>
      </c>
      <c r="N291" s="5" t="s">
        <v>65</v>
      </c>
      <c r="O291" s="5" t="s">
        <v>820</v>
      </c>
      <c r="P291" s="5" t="str">
        <f>IF(hospital_patient_unclean_500__2[[#This Row],[Age]]&lt;18,"0-17",IF(hospital_patient_unclean_500__2[[#This Row],[Age]]&lt;36,"18-35",IF(hospital_patient_unclean_500__2[[#This Row],[Age]]&lt;51,"36-50",IF(hospital_patient_unclean_500__2[[#This Row],[Age]]&lt;66,"51-65","66+"))))</f>
        <v>0-17</v>
      </c>
    </row>
    <row r="292" spans="1:16" x14ac:dyDescent="0.3">
      <c r="A292" s="5" t="s">
        <v>566</v>
      </c>
      <c r="B292" s="5" t="s">
        <v>567</v>
      </c>
      <c r="C292" s="6">
        <v>53</v>
      </c>
      <c r="D292" s="5" t="s">
        <v>51</v>
      </c>
      <c r="E292" s="5" t="s">
        <v>43</v>
      </c>
      <c r="F292" s="5" t="s">
        <v>132</v>
      </c>
      <c r="G292" s="5" t="s">
        <v>138</v>
      </c>
      <c r="H292" s="7">
        <v>45842</v>
      </c>
      <c r="I292" s="7">
        <v>45842</v>
      </c>
      <c r="J292" s="5" t="s">
        <v>147</v>
      </c>
      <c r="K292" s="5" t="s">
        <v>148</v>
      </c>
      <c r="L292" s="8">
        <v>0</v>
      </c>
      <c r="M292" s="5" t="s">
        <v>32</v>
      </c>
      <c r="N292" s="5" t="s">
        <v>48</v>
      </c>
      <c r="O292" s="5" t="s">
        <v>41</v>
      </c>
      <c r="P292" s="5" t="str">
        <f>IF(hospital_patient_unclean_500__2[[#This Row],[Age]]&lt;18,"0-17",IF(hospital_patient_unclean_500__2[[#This Row],[Age]]&lt;36,"18-35",IF(hospital_patient_unclean_500__2[[#This Row],[Age]]&lt;51,"36-50",IF(hospital_patient_unclean_500__2[[#This Row],[Age]]&lt;66,"51-65","66+"))))</f>
        <v>51-65</v>
      </c>
    </row>
    <row r="293" spans="1:16" x14ac:dyDescent="0.3">
      <c r="A293" s="5" t="s">
        <v>568</v>
      </c>
      <c r="B293" s="5" t="s">
        <v>705</v>
      </c>
      <c r="C293" s="6">
        <v>3</v>
      </c>
      <c r="D293" s="5" t="s">
        <v>51</v>
      </c>
      <c r="E293" s="5" t="s">
        <v>819</v>
      </c>
      <c r="F293" s="5" t="s">
        <v>28</v>
      </c>
      <c r="G293" s="5" t="s">
        <v>195</v>
      </c>
      <c r="H293" s="7">
        <v>45668</v>
      </c>
      <c r="I293" s="7">
        <v>45678</v>
      </c>
      <c r="J293" s="5" t="s">
        <v>189</v>
      </c>
      <c r="K293" s="5" t="s">
        <v>835</v>
      </c>
      <c r="L293" s="8">
        <v>208374.36</v>
      </c>
      <c r="M293" s="5" t="s">
        <v>40</v>
      </c>
      <c r="N293" s="5" t="s">
        <v>33</v>
      </c>
      <c r="O293" s="5" t="s">
        <v>93</v>
      </c>
      <c r="P293" s="5" t="str">
        <f>IF(hospital_patient_unclean_500__2[[#This Row],[Age]]&lt;18,"0-17",IF(hospital_patient_unclean_500__2[[#This Row],[Age]]&lt;36,"18-35",IF(hospital_patient_unclean_500__2[[#This Row],[Age]]&lt;51,"36-50",IF(hospital_patient_unclean_500__2[[#This Row],[Age]]&lt;66,"51-65","66+"))))</f>
        <v>0-17</v>
      </c>
    </row>
    <row r="294" spans="1:16" x14ac:dyDescent="0.3">
      <c r="A294" s="5" t="s">
        <v>569</v>
      </c>
      <c r="B294" s="5" t="s">
        <v>570</v>
      </c>
      <c r="C294" s="6">
        <v>66</v>
      </c>
      <c r="D294" s="5" t="s">
        <v>17</v>
      </c>
      <c r="E294" s="5" t="s">
        <v>124</v>
      </c>
      <c r="F294" s="5" t="s">
        <v>87</v>
      </c>
      <c r="G294" s="5" t="s">
        <v>324</v>
      </c>
      <c r="H294" s="7">
        <v>45730</v>
      </c>
      <c r="I294" s="7">
        <v>45748</v>
      </c>
      <c r="J294" s="5" t="s">
        <v>89</v>
      </c>
      <c r="K294" s="5" t="s">
        <v>92</v>
      </c>
      <c r="L294" s="8">
        <v>76422.86</v>
      </c>
      <c r="M294" s="5" t="s">
        <v>72</v>
      </c>
      <c r="N294" s="5" t="s">
        <v>48</v>
      </c>
      <c r="O294" s="5" t="s">
        <v>34</v>
      </c>
      <c r="P294" s="5" t="str">
        <f>IF(hospital_patient_unclean_500__2[[#This Row],[Age]]&lt;18,"0-17",IF(hospital_patient_unclean_500__2[[#This Row],[Age]]&lt;36,"18-35",IF(hospital_patient_unclean_500__2[[#This Row],[Age]]&lt;51,"36-50",IF(hospital_patient_unclean_500__2[[#This Row],[Age]]&lt;66,"51-65","66+"))))</f>
        <v>66+</v>
      </c>
    </row>
    <row r="295" spans="1:16" x14ac:dyDescent="0.3">
      <c r="A295" s="5" t="s">
        <v>571</v>
      </c>
      <c r="B295" s="5" t="s">
        <v>169</v>
      </c>
      <c r="C295" s="6">
        <v>88</v>
      </c>
      <c r="D295" s="5" t="s">
        <v>17</v>
      </c>
      <c r="E295" s="5" t="s">
        <v>124</v>
      </c>
      <c r="F295" s="5" t="s">
        <v>28</v>
      </c>
      <c r="G295" s="5" t="s">
        <v>101</v>
      </c>
      <c r="H295" s="7">
        <v>45870</v>
      </c>
      <c r="I295" s="7">
        <v>45873</v>
      </c>
      <c r="J295" s="5" t="s">
        <v>102</v>
      </c>
      <c r="K295" s="5" t="s">
        <v>819</v>
      </c>
      <c r="L295" s="8">
        <v>215647.84</v>
      </c>
      <c r="M295" s="5" t="s">
        <v>23</v>
      </c>
      <c r="N295" s="5" t="s">
        <v>33</v>
      </c>
      <c r="O295" s="5" t="s">
        <v>34</v>
      </c>
      <c r="P295" s="5" t="str">
        <f>IF(hospital_patient_unclean_500__2[[#This Row],[Age]]&lt;18,"0-17",IF(hospital_patient_unclean_500__2[[#This Row],[Age]]&lt;36,"18-35",IF(hospital_patient_unclean_500__2[[#This Row],[Age]]&lt;51,"36-50",IF(hospital_patient_unclean_500__2[[#This Row],[Age]]&lt;66,"51-65","66+"))))</f>
        <v>66+</v>
      </c>
    </row>
    <row r="296" spans="1:16" x14ac:dyDescent="0.3">
      <c r="A296" s="5" t="s">
        <v>572</v>
      </c>
      <c r="B296" s="5" t="s">
        <v>179</v>
      </c>
      <c r="C296" s="6">
        <v>37</v>
      </c>
      <c r="D296" s="5" t="s">
        <v>51</v>
      </c>
      <c r="E296" s="5" t="s">
        <v>84</v>
      </c>
      <c r="F296" s="5" t="s">
        <v>28</v>
      </c>
      <c r="G296" s="5" t="s">
        <v>195</v>
      </c>
      <c r="H296" s="7">
        <v>45676</v>
      </c>
      <c r="I296" s="7">
        <v>45694</v>
      </c>
      <c r="J296" s="5" t="s">
        <v>102</v>
      </c>
      <c r="K296" s="5" t="s">
        <v>103</v>
      </c>
      <c r="L296" s="8">
        <v>239781.71</v>
      </c>
      <c r="M296" s="5" t="s">
        <v>72</v>
      </c>
      <c r="N296" s="5" t="s">
        <v>48</v>
      </c>
      <c r="O296" s="5" t="s">
        <v>93</v>
      </c>
      <c r="P296" s="5" t="str">
        <f>IF(hospital_patient_unclean_500__2[[#This Row],[Age]]&lt;18,"0-17",IF(hospital_patient_unclean_500__2[[#This Row],[Age]]&lt;36,"18-35",IF(hospital_patient_unclean_500__2[[#This Row],[Age]]&lt;51,"36-50",IF(hospital_patient_unclean_500__2[[#This Row],[Age]]&lt;66,"51-65","66+"))))</f>
        <v>36-50</v>
      </c>
    </row>
    <row r="297" spans="1:16" x14ac:dyDescent="0.3">
      <c r="A297" s="5" t="s">
        <v>573</v>
      </c>
      <c r="B297" s="5" t="s">
        <v>478</v>
      </c>
      <c r="C297" s="6">
        <v>65</v>
      </c>
      <c r="D297" s="5" t="s">
        <v>51</v>
      </c>
      <c r="E297" s="5" t="s">
        <v>84</v>
      </c>
      <c r="F297" s="5" t="s">
        <v>132</v>
      </c>
      <c r="G297" s="5" t="s">
        <v>133</v>
      </c>
      <c r="H297" s="7">
        <v>45674</v>
      </c>
      <c r="I297" s="7">
        <v>45679</v>
      </c>
      <c r="J297" s="5" t="s">
        <v>147</v>
      </c>
      <c r="K297" s="5" t="s">
        <v>148</v>
      </c>
      <c r="L297" s="8">
        <v>92369.02</v>
      </c>
      <c r="M297" s="5" t="s">
        <v>32</v>
      </c>
      <c r="N297" s="5" t="s">
        <v>33</v>
      </c>
      <c r="O297" s="5" t="s">
        <v>820</v>
      </c>
      <c r="P297" s="5" t="str">
        <f>IF(hospital_patient_unclean_500__2[[#This Row],[Age]]&lt;18,"0-17",IF(hospital_patient_unclean_500__2[[#This Row],[Age]]&lt;36,"18-35",IF(hospital_patient_unclean_500__2[[#This Row],[Age]]&lt;51,"36-50",IF(hospital_patient_unclean_500__2[[#This Row],[Age]]&lt;66,"51-65","66+"))))</f>
        <v>51-65</v>
      </c>
    </row>
    <row r="298" spans="1:16" x14ac:dyDescent="0.3">
      <c r="A298" s="5" t="s">
        <v>574</v>
      </c>
      <c r="B298" s="5" t="s">
        <v>478</v>
      </c>
      <c r="C298" s="6">
        <v>33</v>
      </c>
      <c r="D298" s="5" t="s">
        <v>51</v>
      </c>
      <c r="E298" s="5" t="s">
        <v>18</v>
      </c>
      <c r="F298" s="5" t="s">
        <v>44</v>
      </c>
      <c r="G298" s="5" t="s">
        <v>221</v>
      </c>
      <c r="H298" s="7">
        <v>45750</v>
      </c>
      <c r="I298" s="7">
        <v>45755</v>
      </c>
      <c r="J298" s="5" t="s">
        <v>830</v>
      </c>
      <c r="K298" s="5" t="s">
        <v>46</v>
      </c>
      <c r="L298" s="8">
        <v>273508.17</v>
      </c>
      <c r="M298" s="5" t="s">
        <v>23</v>
      </c>
      <c r="N298" s="5" t="s">
        <v>61</v>
      </c>
      <c r="O298" s="5" t="s">
        <v>34</v>
      </c>
      <c r="P298" s="5" t="str">
        <f>IF(hospital_patient_unclean_500__2[[#This Row],[Age]]&lt;18,"0-17",IF(hospital_patient_unclean_500__2[[#This Row],[Age]]&lt;36,"18-35",IF(hospital_patient_unclean_500__2[[#This Row],[Age]]&lt;51,"36-50",IF(hospital_patient_unclean_500__2[[#This Row],[Age]]&lt;66,"51-65","66+"))))</f>
        <v>18-35</v>
      </c>
    </row>
    <row r="299" spans="1:16" x14ac:dyDescent="0.3">
      <c r="A299" s="5" t="s">
        <v>575</v>
      </c>
      <c r="B299" s="5" t="s">
        <v>576</v>
      </c>
      <c r="C299" s="6">
        <v>20</v>
      </c>
      <c r="D299" s="5" t="s">
        <v>51</v>
      </c>
      <c r="E299" s="5" t="s">
        <v>111</v>
      </c>
      <c r="F299" s="5" t="s">
        <v>53</v>
      </c>
      <c r="G299" s="5" t="s">
        <v>69</v>
      </c>
      <c r="H299" s="7">
        <v>45790</v>
      </c>
      <c r="I299" s="7">
        <v>45790</v>
      </c>
      <c r="J299" s="5" t="s">
        <v>819</v>
      </c>
      <c r="K299" s="5" t="s">
        <v>56</v>
      </c>
      <c r="L299" s="8">
        <v>159154.76999999999</v>
      </c>
      <c r="M299" s="5" t="s">
        <v>99</v>
      </c>
      <c r="N299" s="5" t="s">
        <v>33</v>
      </c>
      <c r="O299" s="5" t="s">
        <v>41</v>
      </c>
      <c r="P299" s="5" t="str">
        <f>IF(hospital_patient_unclean_500__2[[#This Row],[Age]]&lt;18,"0-17",IF(hospital_patient_unclean_500__2[[#This Row],[Age]]&lt;36,"18-35",IF(hospital_patient_unclean_500__2[[#This Row],[Age]]&lt;51,"36-50",IF(hospital_patient_unclean_500__2[[#This Row],[Age]]&lt;66,"51-65","66+"))))</f>
        <v>18-35</v>
      </c>
    </row>
    <row r="300" spans="1:16" x14ac:dyDescent="0.3">
      <c r="A300" s="5" t="s">
        <v>577</v>
      </c>
      <c r="B300" s="5" t="s">
        <v>309</v>
      </c>
      <c r="C300" s="6">
        <v>31</v>
      </c>
      <c r="D300" s="5" t="s">
        <v>51</v>
      </c>
      <c r="E300" s="5" t="s">
        <v>68</v>
      </c>
      <c r="F300" s="5" t="s">
        <v>19</v>
      </c>
      <c r="G300" s="5" t="s">
        <v>158</v>
      </c>
      <c r="H300" s="7">
        <v>45830</v>
      </c>
      <c r="I300" s="7">
        <v>45830</v>
      </c>
      <c r="J300" s="5" t="s">
        <v>180</v>
      </c>
      <c r="K300" s="5" t="s">
        <v>181</v>
      </c>
      <c r="L300" s="8">
        <v>137168.85999999999</v>
      </c>
      <c r="M300" s="5" t="s">
        <v>40</v>
      </c>
      <c r="N300" s="5" t="s">
        <v>33</v>
      </c>
      <c r="O300" s="5" t="s">
        <v>93</v>
      </c>
      <c r="P300" s="5" t="str">
        <f>IF(hospital_patient_unclean_500__2[[#This Row],[Age]]&lt;18,"0-17",IF(hospital_patient_unclean_500__2[[#This Row],[Age]]&lt;36,"18-35",IF(hospital_patient_unclean_500__2[[#This Row],[Age]]&lt;51,"36-50",IF(hospital_patient_unclean_500__2[[#This Row],[Age]]&lt;66,"51-65","66+"))))</f>
        <v>18-35</v>
      </c>
    </row>
    <row r="301" spans="1:16" x14ac:dyDescent="0.3">
      <c r="A301" s="5" t="s">
        <v>578</v>
      </c>
      <c r="B301" s="5" t="s">
        <v>503</v>
      </c>
      <c r="C301" s="6">
        <v>88</v>
      </c>
      <c r="D301" s="5" t="s">
        <v>51</v>
      </c>
      <c r="E301" s="5" t="s">
        <v>111</v>
      </c>
      <c r="F301" s="5" t="s">
        <v>19</v>
      </c>
      <c r="G301" s="5" t="s">
        <v>105</v>
      </c>
      <c r="H301" s="7">
        <v>45671</v>
      </c>
      <c r="I301" s="7">
        <v>45684</v>
      </c>
      <c r="J301" s="5" t="s">
        <v>180</v>
      </c>
      <c r="K301" s="5" t="s">
        <v>181</v>
      </c>
      <c r="L301" s="8">
        <v>192719.37</v>
      </c>
      <c r="M301" s="5" t="s">
        <v>60</v>
      </c>
      <c r="N301" s="5" t="s">
        <v>33</v>
      </c>
      <c r="O301" s="5" t="s">
        <v>25</v>
      </c>
      <c r="P301" s="5" t="str">
        <f>IF(hospital_patient_unclean_500__2[[#This Row],[Age]]&lt;18,"0-17",IF(hospital_patient_unclean_500__2[[#This Row],[Age]]&lt;36,"18-35",IF(hospital_patient_unclean_500__2[[#This Row],[Age]]&lt;51,"36-50",IF(hospital_patient_unclean_500__2[[#This Row],[Age]]&lt;66,"51-65","66+"))))</f>
        <v>66+</v>
      </c>
    </row>
    <row r="302" spans="1:16" x14ac:dyDescent="0.3">
      <c r="A302" s="5" t="s">
        <v>579</v>
      </c>
      <c r="B302" s="5" t="s">
        <v>436</v>
      </c>
      <c r="C302" s="6">
        <v>44</v>
      </c>
      <c r="D302" s="5" t="s">
        <v>17</v>
      </c>
      <c r="E302" s="5" t="s">
        <v>84</v>
      </c>
      <c r="F302" s="5" t="s">
        <v>38</v>
      </c>
      <c r="G302" s="5" t="s">
        <v>167</v>
      </c>
      <c r="H302" s="7">
        <v>45699</v>
      </c>
      <c r="I302" s="7">
        <v>45713</v>
      </c>
      <c r="J302" s="5" t="s">
        <v>828</v>
      </c>
      <c r="K302" s="5" t="s">
        <v>39</v>
      </c>
      <c r="L302" s="8">
        <v>192719.37</v>
      </c>
      <c r="M302" s="5" t="s">
        <v>60</v>
      </c>
      <c r="N302" s="5" t="s">
        <v>33</v>
      </c>
      <c r="O302" s="5" t="s">
        <v>93</v>
      </c>
      <c r="P302" s="5" t="str">
        <f>IF(hospital_patient_unclean_500__2[[#This Row],[Age]]&lt;18,"0-17",IF(hospital_patient_unclean_500__2[[#This Row],[Age]]&lt;36,"18-35",IF(hospital_patient_unclean_500__2[[#This Row],[Age]]&lt;51,"36-50",IF(hospital_patient_unclean_500__2[[#This Row],[Age]]&lt;66,"51-65","66+"))))</f>
        <v>36-50</v>
      </c>
    </row>
    <row r="303" spans="1:16" x14ac:dyDescent="0.3">
      <c r="A303" s="5" t="s">
        <v>580</v>
      </c>
      <c r="B303" s="5" t="s">
        <v>131</v>
      </c>
      <c r="C303" s="6">
        <v>67</v>
      </c>
      <c r="D303" s="5" t="s">
        <v>51</v>
      </c>
      <c r="E303" s="5" t="s">
        <v>86</v>
      </c>
      <c r="F303" s="5" t="s">
        <v>132</v>
      </c>
      <c r="G303" s="5" t="s">
        <v>138</v>
      </c>
      <c r="H303" s="7">
        <v>45744</v>
      </c>
      <c r="I303" s="7">
        <v>45750</v>
      </c>
      <c r="J303" s="5" t="s">
        <v>147</v>
      </c>
      <c r="K303" s="5" t="s">
        <v>148</v>
      </c>
      <c r="L303" s="8">
        <v>330025.55</v>
      </c>
      <c r="M303" s="5" t="s">
        <v>60</v>
      </c>
      <c r="N303" s="5" t="s">
        <v>48</v>
      </c>
      <c r="O303" s="5" t="s">
        <v>93</v>
      </c>
      <c r="P303" s="5" t="str">
        <f>IF(hospital_patient_unclean_500__2[[#This Row],[Age]]&lt;18,"0-17",IF(hospital_patient_unclean_500__2[[#This Row],[Age]]&lt;36,"18-35",IF(hospital_patient_unclean_500__2[[#This Row],[Age]]&lt;51,"36-50",IF(hospital_patient_unclean_500__2[[#This Row],[Age]]&lt;66,"51-65","66+"))))</f>
        <v>66+</v>
      </c>
    </row>
    <row r="304" spans="1:16" x14ac:dyDescent="0.3">
      <c r="A304" s="5" t="s">
        <v>581</v>
      </c>
      <c r="B304" s="5" t="s">
        <v>543</v>
      </c>
      <c r="C304" s="6">
        <v>57</v>
      </c>
      <c r="D304" s="5" t="s">
        <v>96</v>
      </c>
      <c r="E304" s="5" t="s">
        <v>64</v>
      </c>
      <c r="F304" s="5" t="s">
        <v>19</v>
      </c>
      <c r="G304" s="5" t="s">
        <v>105</v>
      </c>
      <c r="H304" s="7">
        <v>45775</v>
      </c>
      <c r="I304" s="7">
        <v>45787</v>
      </c>
      <c r="J304" s="5" t="s">
        <v>180</v>
      </c>
      <c r="K304" s="5" t="s">
        <v>181</v>
      </c>
      <c r="L304" s="8">
        <v>276343.26</v>
      </c>
      <c r="M304" s="5" t="s">
        <v>40</v>
      </c>
      <c r="N304" s="5" t="s">
        <v>61</v>
      </c>
      <c r="O304" s="5" t="s">
        <v>41</v>
      </c>
      <c r="P304" s="5" t="str">
        <f>IF(hospital_patient_unclean_500__2[[#This Row],[Age]]&lt;18,"0-17",IF(hospital_patient_unclean_500__2[[#This Row],[Age]]&lt;36,"18-35",IF(hospital_patient_unclean_500__2[[#This Row],[Age]]&lt;51,"36-50",IF(hospital_patient_unclean_500__2[[#This Row],[Age]]&lt;66,"51-65","66+"))))</f>
        <v>51-65</v>
      </c>
    </row>
    <row r="305" spans="1:16" x14ac:dyDescent="0.3">
      <c r="A305" s="5" t="s">
        <v>582</v>
      </c>
      <c r="B305" s="5" t="s">
        <v>583</v>
      </c>
      <c r="C305" s="6">
        <v>42</v>
      </c>
      <c r="D305" s="5" t="s">
        <v>51</v>
      </c>
      <c r="E305" s="5" t="s">
        <v>68</v>
      </c>
      <c r="F305" s="5" t="s">
        <v>819</v>
      </c>
      <c r="G305" s="5" t="s">
        <v>153</v>
      </c>
      <c r="H305" s="7">
        <v>45806</v>
      </c>
      <c r="I305" s="7">
        <v>45824</v>
      </c>
      <c r="J305" s="5" t="s">
        <v>232</v>
      </c>
      <c r="K305" s="5" t="s">
        <v>160</v>
      </c>
      <c r="L305" s="8">
        <v>121793.68</v>
      </c>
      <c r="M305" s="5" t="s">
        <v>32</v>
      </c>
      <c r="N305" s="5" t="s">
        <v>61</v>
      </c>
      <c r="O305" s="5" t="s">
        <v>34</v>
      </c>
      <c r="P305" s="5" t="str">
        <f>IF(hospital_patient_unclean_500__2[[#This Row],[Age]]&lt;18,"0-17",IF(hospital_patient_unclean_500__2[[#This Row],[Age]]&lt;36,"18-35",IF(hospital_patient_unclean_500__2[[#This Row],[Age]]&lt;51,"36-50",IF(hospital_patient_unclean_500__2[[#This Row],[Age]]&lt;66,"51-65","66+"))))</f>
        <v>36-50</v>
      </c>
    </row>
    <row r="306" spans="1:16" x14ac:dyDescent="0.3">
      <c r="A306" s="5" t="s">
        <v>584</v>
      </c>
      <c r="B306" s="5" t="s">
        <v>819</v>
      </c>
      <c r="C306" s="6">
        <v>44</v>
      </c>
      <c r="D306" s="5" t="s">
        <v>17</v>
      </c>
      <c r="E306" s="5" t="s">
        <v>819</v>
      </c>
      <c r="F306" s="5" t="s">
        <v>38</v>
      </c>
      <c r="G306" s="5" t="s">
        <v>167</v>
      </c>
      <c r="H306" s="7">
        <v>45902</v>
      </c>
      <c r="I306" s="7">
        <v>45914</v>
      </c>
      <c r="J306" s="5" t="s">
        <v>80</v>
      </c>
      <c r="K306" s="5" t="s">
        <v>81</v>
      </c>
      <c r="L306" s="8">
        <v>192719.37</v>
      </c>
      <c r="M306" s="5" t="s">
        <v>99</v>
      </c>
      <c r="N306" s="5" t="s">
        <v>65</v>
      </c>
      <c r="O306" s="5" t="s">
        <v>93</v>
      </c>
      <c r="P306" s="5" t="str">
        <f>IF(hospital_patient_unclean_500__2[[#This Row],[Age]]&lt;18,"0-17",IF(hospital_patient_unclean_500__2[[#This Row],[Age]]&lt;36,"18-35",IF(hospital_patient_unclean_500__2[[#This Row],[Age]]&lt;51,"36-50",IF(hospital_patient_unclean_500__2[[#This Row],[Age]]&lt;66,"51-65","66+"))))</f>
        <v>36-50</v>
      </c>
    </row>
    <row r="307" spans="1:16" x14ac:dyDescent="0.3">
      <c r="A307" s="5" t="s">
        <v>585</v>
      </c>
      <c r="B307" s="5" t="s">
        <v>586</v>
      </c>
      <c r="C307" s="6">
        <v>76</v>
      </c>
      <c r="D307" s="5" t="s">
        <v>51</v>
      </c>
      <c r="E307" s="5" t="s">
        <v>111</v>
      </c>
      <c r="F307" s="5" t="s">
        <v>19</v>
      </c>
      <c r="G307" s="5" t="s">
        <v>105</v>
      </c>
      <c r="H307" s="7">
        <v>45810</v>
      </c>
      <c r="I307" s="7">
        <v>45817</v>
      </c>
      <c r="J307" s="5" t="s">
        <v>180</v>
      </c>
      <c r="K307" s="5" t="s">
        <v>181</v>
      </c>
      <c r="L307" s="8">
        <v>35097.68</v>
      </c>
      <c r="M307" s="5" t="s">
        <v>40</v>
      </c>
      <c r="N307" s="5" t="s">
        <v>33</v>
      </c>
      <c r="O307" s="5" t="s">
        <v>25</v>
      </c>
      <c r="P307" s="5" t="str">
        <f>IF(hospital_patient_unclean_500__2[[#This Row],[Age]]&lt;18,"0-17",IF(hospital_patient_unclean_500__2[[#This Row],[Age]]&lt;36,"18-35",IF(hospital_patient_unclean_500__2[[#This Row],[Age]]&lt;51,"36-50",IF(hospital_patient_unclean_500__2[[#This Row],[Age]]&lt;66,"51-65","66+"))))</f>
        <v>66+</v>
      </c>
    </row>
    <row r="308" spans="1:16" x14ac:dyDescent="0.3">
      <c r="A308" s="5" t="s">
        <v>587</v>
      </c>
      <c r="B308" s="5" t="s">
        <v>503</v>
      </c>
      <c r="C308" s="6">
        <v>39</v>
      </c>
      <c r="D308" s="5" t="s">
        <v>51</v>
      </c>
      <c r="E308" s="5" t="s">
        <v>43</v>
      </c>
      <c r="F308" s="5" t="s">
        <v>38</v>
      </c>
      <c r="G308" s="5" t="s">
        <v>79</v>
      </c>
      <c r="H308" s="7">
        <v>45788</v>
      </c>
      <c r="I308" s="7">
        <v>45794</v>
      </c>
      <c r="J308" s="5" t="s">
        <v>80</v>
      </c>
      <c r="K308" s="5" t="s">
        <v>81</v>
      </c>
      <c r="L308" s="8">
        <v>138020.31</v>
      </c>
      <c r="M308" s="5" t="s">
        <v>72</v>
      </c>
      <c r="N308" s="5" t="s">
        <v>65</v>
      </c>
      <c r="O308" s="5" t="s">
        <v>93</v>
      </c>
      <c r="P308" s="5" t="str">
        <f>IF(hospital_patient_unclean_500__2[[#This Row],[Age]]&lt;18,"0-17",IF(hospital_patient_unclean_500__2[[#This Row],[Age]]&lt;36,"18-35",IF(hospital_patient_unclean_500__2[[#This Row],[Age]]&lt;51,"36-50",IF(hospital_patient_unclean_500__2[[#This Row],[Age]]&lt;66,"51-65","66+"))))</f>
        <v>36-50</v>
      </c>
    </row>
    <row r="309" spans="1:16" x14ac:dyDescent="0.3">
      <c r="A309" s="5" t="s">
        <v>588</v>
      </c>
      <c r="B309" s="5" t="s">
        <v>589</v>
      </c>
      <c r="C309" s="6">
        <v>45</v>
      </c>
      <c r="D309" s="5" t="s">
        <v>51</v>
      </c>
      <c r="E309" s="5" t="s">
        <v>124</v>
      </c>
      <c r="F309" s="5" t="s">
        <v>28</v>
      </c>
      <c r="G309" s="5" t="s">
        <v>195</v>
      </c>
      <c r="H309" s="7">
        <v>45932</v>
      </c>
      <c r="I309" s="7">
        <v>45948</v>
      </c>
      <c r="J309" s="5" t="s">
        <v>30</v>
      </c>
      <c r="K309" s="5" t="s">
        <v>31</v>
      </c>
      <c r="L309" s="8">
        <v>346942.33</v>
      </c>
      <c r="M309" s="5" t="s">
        <v>32</v>
      </c>
      <c r="N309" s="5" t="s">
        <v>65</v>
      </c>
      <c r="O309" s="5" t="s">
        <v>820</v>
      </c>
      <c r="P309" s="5" t="str">
        <f>IF(hospital_patient_unclean_500__2[[#This Row],[Age]]&lt;18,"0-17",IF(hospital_patient_unclean_500__2[[#This Row],[Age]]&lt;36,"18-35",IF(hospital_patient_unclean_500__2[[#This Row],[Age]]&lt;51,"36-50",IF(hospital_patient_unclean_500__2[[#This Row],[Age]]&lt;66,"51-65","66+"))))</f>
        <v>36-50</v>
      </c>
    </row>
    <row r="310" spans="1:16" x14ac:dyDescent="0.3">
      <c r="A310" s="5" t="s">
        <v>590</v>
      </c>
      <c r="B310" s="5" t="s">
        <v>819</v>
      </c>
      <c r="C310" s="6">
        <v>75</v>
      </c>
      <c r="D310" s="5" t="s">
        <v>17</v>
      </c>
      <c r="E310" s="5" t="s">
        <v>37</v>
      </c>
      <c r="F310" s="5" t="s">
        <v>87</v>
      </c>
      <c r="G310" s="5" t="s">
        <v>324</v>
      </c>
      <c r="H310" s="7">
        <v>45814</v>
      </c>
      <c r="I310" s="7">
        <v>45957</v>
      </c>
      <c r="J310" s="5" t="s">
        <v>171</v>
      </c>
      <c r="K310" s="5" t="s">
        <v>113</v>
      </c>
      <c r="L310" s="8">
        <v>192719.37</v>
      </c>
      <c r="M310" s="5" t="s">
        <v>40</v>
      </c>
      <c r="N310" s="5" t="s">
        <v>33</v>
      </c>
      <c r="O310" s="5" t="s">
        <v>93</v>
      </c>
      <c r="P310" s="5" t="str">
        <f>IF(hospital_patient_unclean_500__2[[#This Row],[Age]]&lt;18,"0-17",IF(hospital_patient_unclean_500__2[[#This Row],[Age]]&lt;36,"18-35",IF(hospital_patient_unclean_500__2[[#This Row],[Age]]&lt;51,"36-50",IF(hospital_patient_unclean_500__2[[#This Row],[Age]]&lt;66,"51-65","66+"))))</f>
        <v>66+</v>
      </c>
    </row>
    <row r="311" spans="1:16" x14ac:dyDescent="0.3">
      <c r="A311" s="5" t="s">
        <v>591</v>
      </c>
      <c r="B311" s="5" t="s">
        <v>490</v>
      </c>
      <c r="C311" s="6">
        <v>48</v>
      </c>
      <c r="D311" s="5" t="s">
        <v>17</v>
      </c>
      <c r="E311" s="5" t="s">
        <v>37</v>
      </c>
      <c r="F311" s="5" t="s">
        <v>44</v>
      </c>
      <c r="G311" s="5" t="s">
        <v>221</v>
      </c>
      <c r="H311" s="7">
        <v>45953</v>
      </c>
      <c r="I311" s="7">
        <v>45965</v>
      </c>
      <c r="J311" s="5" t="s">
        <v>154</v>
      </c>
      <c r="K311" s="5" t="s">
        <v>155</v>
      </c>
      <c r="L311" s="8">
        <v>0</v>
      </c>
      <c r="M311" s="5" t="s">
        <v>40</v>
      </c>
      <c r="N311" s="5" t="s">
        <v>24</v>
      </c>
      <c r="O311" s="5" t="s">
        <v>34</v>
      </c>
      <c r="P311" s="5" t="str">
        <f>IF(hospital_patient_unclean_500__2[[#This Row],[Age]]&lt;18,"0-17",IF(hospital_patient_unclean_500__2[[#This Row],[Age]]&lt;36,"18-35",IF(hospital_patient_unclean_500__2[[#This Row],[Age]]&lt;51,"36-50",IF(hospital_patient_unclean_500__2[[#This Row],[Age]]&lt;66,"51-65","66+"))))</f>
        <v>36-50</v>
      </c>
    </row>
    <row r="312" spans="1:16" x14ac:dyDescent="0.3">
      <c r="A312" s="5" t="s">
        <v>592</v>
      </c>
      <c r="B312" s="5" t="s">
        <v>593</v>
      </c>
      <c r="C312" s="6">
        <v>39</v>
      </c>
      <c r="D312" s="5" t="s">
        <v>17</v>
      </c>
      <c r="E312" s="5" t="s">
        <v>18</v>
      </c>
      <c r="F312" s="5" t="s">
        <v>53</v>
      </c>
      <c r="G312" s="5" t="s">
        <v>69</v>
      </c>
      <c r="H312" s="7">
        <v>45679</v>
      </c>
      <c r="I312" s="7">
        <v>45691</v>
      </c>
      <c r="J312" s="5" t="s">
        <v>70</v>
      </c>
      <c r="K312" s="5" t="s">
        <v>71</v>
      </c>
      <c r="L312" s="8">
        <v>320413.53000000003</v>
      </c>
      <c r="M312" s="5" t="s">
        <v>23</v>
      </c>
      <c r="N312" s="5" t="s">
        <v>61</v>
      </c>
      <c r="O312" s="5" t="s">
        <v>34</v>
      </c>
      <c r="P312" s="5" t="str">
        <f>IF(hospital_patient_unclean_500__2[[#This Row],[Age]]&lt;18,"0-17",IF(hospital_patient_unclean_500__2[[#This Row],[Age]]&lt;36,"18-35",IF(hospital_patient_unclean_500__2[[#This Row],[Age]]&lt;51,"36-50",IF(hospital_patient_unclean_500__2[[#This Row],[Age]]&lt;66,"51-65","66+"))))</f>
        <v>36-50</v>
      </c>
    </row>
    <row r="313" spans="1:16" x14ac:dyDescent="0.3">
      <c r="A313" s="5" t="s">
        <v>594</v>
      </c>
      <c r="B313" s="5" t="s">
        <v>286</v>
      </c>
      <c r="C313" s="6">
        <v>44</v>
      </c>
      <c r="D313" s="5" t="s">
        <v>51</v>
      </c>
      <c r="E313" s="5" t="s">
        <v>124</v>
      </c>
      <c r="F313" s="5" t="s">
        <v>87</v>
      </c>
      <c r="G313" s="5" t="s">
        <v>112</v>
      </c>
      <c r="H313" s="7">
        <v>45719</v>
      </c>
      <c r="I313" s="7">
        <v>45805</v>
      </c>
      <c r="J313" s="5" t="s">
        <v>216</v>
      </c>
      <c r="K313" s="5" t="s">
        <v>839</v>
      </c>
      <c r="L313" s="8">
        <v>342444.11</v>
      </c>
      <c r="M313" s="5" t="s">
        <v>32</v>
      </c>
      <c r="N313" s="5" t="s">
        <v>48</v>
      </c>
      <c r="O313" s="5" t="s">
        <v>41</v>
      </c>
      <c r="P313" s="5" t="str">
        <f>IF(hospital_patient_unclean_500__2[[#This Row],[Age]]&lt;18,"0-17",IF(hospital_patient_unclean_500__2[[#This Row],[Age]]&lt;36,"18-35",IF(hospital_patient_unclean_500__2[[#This Row],[Age]]&lt;51,"36-50",IF(hospital_patient_unclean_500__2[[#This Row],[Age]]&lt;66,"51-65","66+"))))</f>
        <v>36-50</v>
      </c>
    </row>
    <row r="314" spans="1:16" x14ac:dyDescent="0.3">
      <c r="A314" s="5" t="s">
        <v>854</v>
      </c>
      <c r="B314" s="5" t="s">
        <v>535</v>
      </c>
      <c r="C314" s="6">
        <v>58</v>
      </c>
      <c r="D314" s="5" t="s">
        <v>51</v>
      </c>
      <c r="E314" s="5" t="s">
        <v>64</v>
      </c>
      <c r="F314" s="5" t="s">
        <v>44</v>
      </c>
      <c r="G314" s="5" t="s">
        <v>221</v>
      </c>
      <c r="H314" s="7">
        <v>45912</v>
      </c>
      <c r="I314" s="7">
        <v>45919</v>
      </c>
      <c r="J314" s="5" t="s">
        <v>244</v>
      </c>
      <c r="K314" s="5" t="s">
        <v>280</v>
      </c>
      <c r="L314" s="8">
        <v>320265.67</v>
      </c>
      <c r="M314" s="5" t="s">
        <v>32</v>
      </c>
      <c r="N314" s="5" t="s">
        <v>33</v>
      </c>
      <c r="O314" s="5" t="s">
        <v>93</v>
      </c>
      <c r="P314" s="5" t="str">
        <f>IF(hospital_patient_unclean_500__2[[#This Row],[Age]]&lt;18,"0-17",IF(hospital_patient_unclean_500__2[[#This Row],[Age]]&lt;36,"18-35",IF(hospital_patient_unclean_500__2[[#This Row],[Age]]&lt;51,"36-50",IF(hospital_patient_unclean_500__2[[#This Row],[Age]]&lt;66,"51-65","66+"))))</f>
        <v>51-65</v>
      </c>
    </row>
    <row r="315" spans="1:16" x14ac:dyDescent="0.3">
      <c r="A315" s="5" t="s">
        <v>595</v>
      </c>
      <c r="B315" s="5" t="s">
        <v>596</v>
      </c>
      <c r="C315" s="6">
        <v>44</v>
      </c>
      <c r="D315" s="5" t="s">
        <v>51</v>
      </c>
      <c r="E315" s="5" t="s">
        <v>18</v>
      </c>
      <c r="F315" s="5" t="s">
        <v>44</v>
      </c>
      <c r="G315" s="5" t="s">
        <v>221</v>
      </c>
      <c r="H315" s="7">
        <v>45880</v>
      </c>
      <c r="I315" s="7">
        <v>45880</v>
      </c>
      <c r="J315" s="5" t="s">
        <v>154</v>
      </c>
      <c r="K315" s="5" t="s">
        <v>155</v>
      </c>
      <c r="L315" s="8">
        <v>269352.28000000003</v>
      </c>
      <c r="M315" s="5" t="s">
        <v>99</v>
      </c>
      <c r="N315" s="5" t="s">
        <v>33</v>
      </c>
      <c r="O315" s="5" t="s">
        <v>41</v>
      </c>
      <c r="P315" s="5" t="str">
        <f>IF(hospital_patient_unclean_500__2[[#This Row],[Age]]&lt;18,"0-17",IF(hospital_patient_unclean_500__2[[#This Row],[Age]]&lt;36,"18-35",IF(hospital_patient_unclean_500__2[[#This Row],[Age]]&lt;51,"36-50",IF(hospital_patient_unclean_500__2[[#This Row],[Age]]&lt;66,"51-65","66+"))))</f>
        <v>36-50</v>
      </c>
    </row>
    <row r="316" spans="1:16" x14ac:dyDescent="0.3">
      <c r="A316" s="5" t="s">
        <v>597</v>
      </c>
      <c r="B316" s="5" t="s">
        <v>303</v>
      </c>
      <c r="C316" s="6">
        <v>73</v>
      </c>
      <c r="D316" s="5" t="s">
        <v>17</v>
      </c>
      <c r="E316" s="5" t="s">
        <v>64</v>
      </c>
      <c r="F316" s="5" t="s">
        <v>28</v>
      </c>
      <c r="G316" s="5" t="s">
        <v>29</v>
      </c>
      <c r="H316" s="7">
        <v>45818</v>
      </c>
      <c r="I316" s="7">
        <v>45836</v>
      </c>
      <c r="J316" s="5" t="s">
        <v>102</v>
      </c>
      <c r="K316" s="5" t="s">
        <v>103</v>
      </c>
      <c r="L316" s="8">
        <v>197586.65</v>
      </c>
      <c r="M316" s="5" t="s">
        <v>40</v>
      </c>
      <c r="N316" s="5" t="s">
        <v>65</v>
      </c>
      <c r="O316" s="5" t="s">
        <v>25</v>
      </c>
      <c r="P316" s="5" t="str">
        <f>IF(hospital_patient_unclean_500__2[[#This Row],[Age]]&lt;18,"0-17",IF(hospital_patient_unclean_500__2[[#This Row],[Age]]&lt;36,"18-35",IF(hospital_patient_unclean_500__2[[#This Row],[Age]]&lt;51,"36-50",IF(hospital_patient_unclean_500__2[[#This Row],[Age]]&lt;66,"51-65","66+"))))</f>
        <v>66+</v>
      </c>
    </row>
    <row r="317" spans="1:16" x14ac:dyDescent="0.3">
      <c r="A317" s="5" t="s">
        <v>598</v>
      </c>
      <c r="B317" s="5" t="s">
        <v>576</v>
      </c>
      <c r="C317" s="6">
        <v>44</v>
      </c>
      <c r="D317" s="5" t="s">
        <v>51</v>
      </c>
      <c r="E317" s="5" t="s">
        <v>52</v>
      </c>
      <c r="F317" s="5" t="s">
        <v>19</v>
      </c>
      <c r="G317" s="5" t="s">
        <v>819</v>
      </c>
      <c r="H317" s="7">
        <v>45840</v>
      </c>
      <c r="I317" s="7">
        <v>45843</v>
      </c>
      <c r="J317" s="5" t="s">
        <v>267</v>
      </c>
      <c r="K317" s="5" t="s">
        <v>268</v>
      </c>
      <c r="L317" s="8">
        <v>87118.18</v>
      </c>
      <c r="M317" s="5" t="s">
        <v>72</v>
      </c>
      <c r="N317" s="5" t="s">
        <v>24</v>
      </c>
      <c r="O317" s="5" t="s">
        <v>820</v>
      </c>
      <c r="P317" s="5" t="str">
        <f>IF(hospital_patient_unclean_500__2[[#This Row],[Age]]&lt;18,"0-17",IF(hospital_patient_unclean_500__2[[#This Row],[Age]]&lt;36,"18-35",IF(hospital_patient_unclean_500__2[[#This Row],[Age]]&lt;51,"36-50",IF(hospital_patient_unclean_500__2[[#This Row],[Age]]&lt;66,"51-65","66+"))))</f>
        <v>36-50</v>
      </c>
    </row>
    <row r="318" spans="1:16" x14ac:dyDescent="0.3">
      <c r="A318" s="5" t="s">
        <v>599</v>
      </c>
      <c r="B318" s="5" t="s">
        <v>600</v>
      </c>
      <c r="C318" s="6">
        <v>6</v>
      </c>
      <c r="D318" s="5" t="s">
        <v>51</v>
      </c>
      <c r="E318" s="5" t="s">
        <v>86</v>
      </c>
      <c r="F318" s="5" t="s">
        <v>87</v>
      </c>
      <c r="G318" s="5" t="s">
        <v>88</v>
      </c>
      <c r="H318" s="7">
        <v>45969</v>
      </c>
      <c r="I318" s="7">
        <v>45975</v>
      </c>
      <c r="J318" s="5" t="s">
        <v>216</v>
      </c>
      <c r="K318" s="5" t="s">
        <v>839</v>
      </c>
      <c r="L318" s="8">
        <v>173699.35</v>
      </c>
      <c r="M318" s="5" t="s">
        <v>47</v>
      </c>
      <c r="N318" s="5" t="s">
        <v>24</v>
      </c>
      <c r="O318" s="5" t="s">
        <v>25</v>
      </c>
      <c r="P318" s="5" t="str">
        <f>IF(hospital_patient_unclean_500__2[[#This Row],[Age]]&lt;18,"0-17",IF(hospital_patient_unclean_500__2[[#This Row],[Age]]&lt;36,"18-35",IF(hospital_patient_unclean_500__2[[#This Row],[Age]]&lt;51,"36-50",IF(hospital_patient_unclean_500__2[[#This Row],[Age]]&lt;66,"51-65","66+"))))</f>
        <v>0-17</v>
      </c>
    </row>
    <row r="319" spans="1:16" x14ac:dyDescent="0.3">
      <c r="A319" s="5" t="s">
        <v>601</v>
      </c>
      <c r="B319" s="5" t="s">
        <v>602</v>
      </c>
      <c r="C319" s="6">
        <v>70</v>
      </c>
      <c r="D319" s="5" t="s">
        <v>51</v>
      </c>
      <c r="E319" s="5" t="s">
        <v>532</v>
      </c>
      <c r="F319" s="5" t="s">
        <v>132</v>
      </c>
      <c r="G319" s="5" t="s">
        <v>133</v>
      </c>
      <c r="H319" s="7">
        <v>45820</v>
      </c>
      <c r="I319" s="7">
        <v>45823</v>
      </c>
      <c r="J319" s="5" t="s">
        <v>173</v>
      </c>
      <c r="K319" s="5" t="s">
        <v>174</v>
      </c>
      <c r="L319" s="8">
        <v>183816.01</v>
      </c>
      <c r="M319" s="5" t="s">
        <v>99</v>
      </c>
      <c r="N319" s="5" t="s">
        <v>33</v>
      </c>
      <c r="O319" s="5" t="s">
        <v>34</v>
      </c>
      <c r="P319" s="5" t="str">
        <f>IF(hospital_patient_unclean_500__2[[#This Row],[Age]]&lt;18,"0-17",IF(hospital_patient_unclean_500__2[[#This Row],[Age]]&lt;36,"18-35",IF(hospital_patient_unclean_500__2[[#This Row],[Age]]&lt;51,"36-50",IF(hospital_patient_unclean_500__2[[#This Row],[Age]]&lt;66,"51-65","66+"))))</f>
        <v>66+</v>
      </c>
    </row>
    <row r="320" spans="1:16" x14ac:dyDescent="0.3">
      <c r="A320" s="5" t="s">
        <v>603</v>
      </c>
      <c r="B320" s="5" t="s">
        <v>589</v>
      </c>
      <c r="C320" s="6">
        <v>13</v>
      </c>
      <c r="D320" s="5" t="s">
        <v>51</v>
      </c>
      <c r="E320" s="5" t="s">
        <v>111</v>
      </c>
      <c r="F320" s="5" t="s">
        <v>53</v>
      </c>
      <c r="G320" s="5" t="s">
        <v>54</v>
      </c>
      <c r="H320" s="7">
        <v>45881</v>
      </c>
      <c r="I320" s="7">
        <v>45890</v>
      </c>
      <c r="J320" s="5" t="s">
        <v>55</v>
      </c>
      <c r="K320" s="5" t="s">
        <v>56</v>
      </c>
      <c r="L320" s="8">
        <v>43425.63</v>
      </c>
      <c r="M320" s="5" t="s">
        <v>23</v>
      </c>
      <c r="N320" s="5" t="s">
        <v>33</v>
      </c>
      <c r="O320" s="5" t="s">
        <v>25</v>
      </c>
      <c r="P320" s="5" t="str">
        <f>IF(hospital_patient_unclean_500__2[[#This Row],[Age]]&lt;18,"0-17",IF(hospital_patient_unclean_500__2[[#This Row],[Age]]&lt;36,"18-35",IF(hospital_patient_unclean_500__2[[#This Row],[Age]]&lt;51,"36-50",IF(hospital_patient_unclean_500__2[[#This Row],[Age]]&lt;66,"51-65","66+"))))</f>
        <v>0-17</v>
      </c>
    </row>
    <row r="321" spans="1:16" x14ac:dyDescent="0.3">
      <c r="A321" s="5" t="s">
        <v>604</v>
      </c>
      <c r="B321" s="5" t="s">
        <v>605</v>
      </c>
      <c r="C321" s="6">
        <v>49</v>
      </c>
      <c r="D321" s="5" t="s">
        <v>51</v>
      </c>
      <c r="E321" s="5" t="s">
        <v>86</v>
      </c>
      <c r="F321" s="5" t="s">
        <v>38</v>
      </c>
      <c r="G321" s="5" t="s">
        <v>79</v>
      </c>
      <c r="H321" s="7">
        <v>45967</v>
      </c>
      <c r="I321" s="7">
        <v>45980</v>
      </c>
      <c r="J321" s="5" t="s">
        <v>97</v>
      </c>
      <c r="K321" s="5" t="s">
        <v>98</v>
      </c>
      <c r="L321" s="8">
        <v>0</v>
      </c>
      <c r="M321" s="5" t="s">
        <v>72</v>
      </c>
      <c r="N321" s="5" t="s">
        <v>33</v>
      </c>
      <c r="O321" s="5" t="s">
        <v>93</v>
      </c>
      <c r="P321" s="5" t="str">
        <f>IF(hospital_patient_unclean_500__2[[#This Row],[Age]]&lt;18,"0-17",IF(hospital_patient_unclean_500__2[[#This Row],[Age]]&lt;36,"18-35",IF(hospital_patient_unclean_500__2[[#This Row],[Age]]&lt;51,"36-50",IF(hospital_patient_unclean_500__2[[#This Row],[Age]]&lt;66,"51-65","66+"))))</f>
        <v>36-50</v>
      </c>
    </row>
    <row r="322" spans="1:16" x14ac:dyDescent="0.3">
      <c r="A322" s="5" t="s">
        <v>606</v>
      </c>
      <c r="B322" s="5" t="s">
        <v>607</v>
      </c>
      <c r="C322" s="6">
        <v>44</v>
      </c>
      <c r="D322" s="5" t="s">
        <v>17</v>
      </c>
      <c r="E322" s="5" t="s">
        <v>68</v>
      </c>
      <c r="F322" s="5" t="s">
        <v>38</v>
      </c>
      <c r="G322" s="5" t="s">
        <v>167</v>
      </c>
      <c r="H322" s="7">
        <v>45773</v>
      </c>
      <c r="I322" s="7">
        <v>45840</v>
      </c>
      <c r="J322" s="5" t="s">
        <v>828</v>
      </c>
      <c r="K322" s="5" t="s">
        <v>39</v>
      </c>
      <c r="L322" s="8">
        <v>282262.06</v>
      </c>
      <c r="M322" s="5" t="s">
        <v>99</v>
      </c>
      <c r="N322" s="5" t="s">
        <v>24</v>
      </c>
      <c r="O322" s="5" t="s">
        <v>41</v>
      </c>
      <c r="P322" s="5" t="str">
        <f>IF(hospital_patient_unclean_500__2[[#This Row],[Age]]&lt;18,"0-17",IF(hospital_patient_unclean_500__2[[#This Row],[Age]]&lt;36,"18-35",IF(hospital_patient_unclean_500__2[[#This Row],[Age]]&lt;51,"36-50",IF(hospital_patient_unclean_500__2[[#This Row],[Age]]&lt;66,"51-65","66+"))))</f>
        <v>36-50</v>
      </c>
    </row>
    <row r="323" spans="1:16" x14ac:dyDescent="0.3">
      <c r="A323" s="5" t="s">
        <v>608</v>
      </c>
      <c r="B323" s="5" t="s">
        <v>609</v>
      </c>
      <c r="C323" s="6">
        <v>73</v>
      </c>
      <c r="D323" s="5" t="s">
        <v>17</v>
      </c>
      <c r="E323" s="5" t="s">
        <v>52</v>
      </c>
      <c r="F323" s="5" t="s">
        <v>44</v>
      </c>
      <c r="G323" s="5" t="s">
        <v>45</v>
      </c>
      <c r="H323" s="7">
        <v>45699</v>
      </c>
      <c r="I323" s="7">
        <v>45700</v>
      </c>
      <c r="J323" s="5" t="s">
        <v>154</v>
      </c>
      <c r="K323" s="5" t="s">
        <v>155</v>
      </c>
      <c r="L323" s="8">
        <v>270260.96999999997</v>
      </c>
      <c r="M323" s="5" t="s">
        <v>32</v>
      </c>
      <c r="N323" s="5" t="s">
        <v>819</v>
      </c>
      <c r="O323" s="5" t="s">
        <v>93</v>
      </c>
      <c r="P323" s="5" t="str">
        <f>IF(hospital_patient_unclean_500__2[[#This Row],[Age]]&lt;18,"0-17",IF(hospital_patient_unclean_500__2[[#This Row],[Age]]&lt;36,"18-35",IF(hospital_patient_unclean_500__2[[#This Row],[Age]]&lt;51,"36-50",IF(hospital_patient_unclean_500__2[[#This Row],[Age]]&lt;66,"51-65","66+"))))</f>
        <v>66+</v>
      </c>
    </row>
    <row r="324" spans="1:16" x14ac:dyDescent="0.3">
      <c r="A324" s="5" t="s">
        <v>610</v>
      </c>
      <c r="B324" s="5" t="s">
        <v>605</v>
      </c>
      <c r="C324" s="6">
        <v>85</v>
      </c>
      <c r="D324" s="5" t="s">
        <v>51</v>
      </c>
      <c r="E324" s="5" t="s">
        <v>68</v>
      </c>
      <c r="F324" s="5" t="s">
        <v>28</v>
      </c>
      <c r="G324" s="5" t="s">
        <v>195</v>
      </c>
      <c r="H324" s="7">
        <v>45688</v>
      </c>
      <c r="I324" s="7">
        <v>45698</v>
      </c>
      <c r="J324" s="5" t="s">
        <v>189</v>
      </c>
      <c r="K324" s="5" t="s">
        <v>835</v>
      </c>
      <c r="L324" s="8">
        <v>292075.46000000002</v>
      </c>
      <c r="M324" s="5" t="s">
        <v>32</v>
      </c>
      <c r="N324" s="5" t="s">
        <v>61</v>
      </c>
      <c r="O324" s="5" t="s">
        <v>820</v>
      </c>
      <c r="P324" s="5" t="str">
        <f>IF(hospital_patient_unclean_500__2[[#This Row],[Age]]&lt;18,"0-17",IF(hospital_patient_unclean_500__2[[#This Row],[Age]]&lt;36,"18-35",IF(hospital_patient_unclean_500__2[[#This Row],[Age]]&lt;51,"36-50",IF(hospital_patient_unclean_500__2[[#This Row],[Age]]&lt;66,"51-65","66+"))))</f>
        <v>66+</v>
      </c>
    </row>
    <row r="325" spans="1:16" x14ac:dyDescent="0.3">
      <c r="A325" s="5" t="s">
        <v>855</v>
      </c>
      <c r="B325" s="5" t="s">
        <v>611</v>
      </c>
      <c r="C325" s="6">
        <v>21</v>
      </c>
      <c r="D325" s="5" t="s">
        <v>51</v>
      </c>
      <c r="E325" s="5" t="s">
        <v>124</v>
      </c>
      <c r="F325" s="5" t="s">
        <v>53</v>
      </c>
      <c r="G325" s="5" t="s">
        <v>54</v>
      </c>
      <c r="H325" s="7">
        <v>45918</v>
      </c>
      <c r="I325" s="7">
        <v>45925</v>
      </c>
      <c r="J325" s="5" t="s">
        <v>55</v>
      </c>
      <c r="K325" s="5" t="s">
        <v>56</v>
      </c>
      <c r="L325" s="8">
        <v>329740.81</v>
      </c>
      <c r="M325" s="5" t="s">
        <v>32</v>
      </c>
      <c r="N325" s="5" t="s">
        <v>33</v>
      </c>
      <c r="O325" s="5" t="s">
        <v>820</v>
      </c>
      <c r="P325" s="5" t="str">
        <f>IF(hospital_patient_unclean_500__2[[#This Row],[Age]]&lt;18,"0-17",IF(hospital_patient_unclean_500__2[[#This Row],[Age]]&lt;36,"18-35",IF(hospital_patient_unclean_500__2[[#This Row],[Age]]&lt;51,"36-50",IF(hospital_patient_unclean_500__2[[#This Row],[Age]]&lt;66,"51-65","66+"))))</f>
        <v>18-35</v>
      </c>
    </row>
    <row r="326" spans="1:16" x14ac:dyDescent="0.3">
      <c r="A326" s="5" t="s">
        <v>612</v>
      </c>
      <c r="B326" s="5" t="s">
        <v>613</v>
      </c>
      <c r="C326" s="6">
        <v>58</v>
      </c>
      <c r="D326" s="5" t="s">
        <v>17</v>
      </c>
      <c r="E326" s="5" t="s">
        <v>64</v>
      </c>
      <c r="F326" s="5" t="s">
        <v>87</v>
      </c>
      <c r="G326" s="5" t="s">
        <v>112</v>
      </c>
      <c r="H326" s="7">
        <v>45925</v>
      </c>
      <c r="I326" s="7">
        <v>45928</v>
      </c>
      <c r="J326" s="5" t="s">
        <v>192</v>
      </c>
      <c r="K326" s="5" t="s">
        <v>193</v>
      </c>
      <c r="L326" s="8">
        <v>272662.94</v>
      </c>
      <c r="M326" s="5" t="s">
        <v>99</v>
      </c>
      <c r="N326" s="5" t="s">
        <v>33</v>
      </c>
      <c r="O326" s="5" t="s">
        <v>820</v>
      </c>
      <c r="P326" s="5" t="str">
        <f>IF(hospital_patient_unclean_500__2[[#This Row],[Age]]&lt;18,"0-17",IF(hospital_patient_unclean_500__2[[#This Row],[Age]]&lt;36,"18-35",IF(hospital_patient_unclean_500__2[[#This Row],[Age]]&lt;51,"36-50",IF(hospital_patient_unclean_500__2[[#This Row],[Age]]&lt;66,"51-65","66+"))))</f>
        <v>51-65</v>
      </c>
    </row>
    <row r="327" spans="1:16" x14ac:dyDescent="0.3">
      <c r="A327" s="5" t="s">
        <v>614</v>
      </c>
      <c r="B327" s="5" t="s">
        <v>615</v>
      </c>
      <c r="C327" s="6">
        <v>53</v>
      </c>
      <c r="D327" s="5" t="s">
        <v>51</v>
      </c>
      <c r="E327" s="5" t="s">
        <v>64</v>
      </c>
      <c r="F327" s="5" t="s">
        <v>819</v>
      </c>
      <c r="G327" s="5" t="s">
        <v>153</v>
      </c>
      <c r="H327" s="7">
        <v>45684</v>
      </c>
      <c r="I327" s="7">
        <v>45699</v>
      </c>
      <c r="J327" s="5" t="s">
        <v>830</v>
      </c>
      <c r="K327" s="5" t="s">
        <v>46</v>
      </c>
      <c r="L327" s="8">
        <v>179644.78</v>
      </c>
      <c r="M327" s="5" t="s">
        <v>32</v>
      </c>
      <c r="N327" s="5" t="s">
        <v>819</v>
      </c>
      <c r="O327" s="5" t="s">
        <v>820</v>
      </c>
      <c r="P327" s="5" t="str">
        <f>IF(hospital_patient_unclean_500__2[[#This Row],[Age]]&lt;18,"0-17",IF(hospital_patient_unclean_500__2[[#This Row],[Age]]&lt;36,"18-35",IF(hospital_patient_unclean_500__2[[#This Row],[Age]]&lt;51,"36-50",IF(hospital_patient_unclean_500__2[[#This Row],[Age]]&lt;66,"51-65","66+"))))</f>
        <v>51-65</v>
      </c>
    </row>
    <row r="328" spans="1:16" x14ac:dyDescent="0.3">
      <c r="A328" s="5" t="s">
        <v>616</v>
      </c>
      <c r="B328" s="5" t="s">
        <v>42</v>
      </c>
      <c r="C328" s="6">
        <v>23</v>
      </c>
      <c r="D328" s="5" t="s">
        <v>51</v>
      </c>
      <c r="E328" s="5" t="s">
        <v>68</v>
      </c>
      <c r="F328" s="5" t="s">
        <v>28</v>
      </c>
      <c r="G328" s="5" t="s">
        <v>29</v>
      </c>
      <c r="H328" s="7">
        <v>45680</v>
      </c>
      <c r="I328" s="7">
        <v>45693</v>
      </c>
      <c r="J328" s="5" t="s">
        <v>75</v>
      </c>
      <c r="K328" s="5" t="s">
        <v>76</v>
      </c>
      <c r="L328" s="8">
        <v>73899.320000000007</v>
      </c>
      <c r="M328" s="5" t="s">
        <v>32</v>
      </c>
      <c r="N328" s="5" t="s">
        <v>48</v>
      </c>
      <c r="O328" s="5" t="s">
        <v>93</v>
      </c>
      <c r="P328" s="5" t="str">
        <f>IF(hospital_patient_unclean_500__2[[#This Row],[Age]]&lt;18,"0-17",IF(hospital_patient_unclean_500__2[[#This Row],[Age]]&lt;36,"18-35",IF(hospital_patient_unclean_500__2[[#This Row],[Age]]&lt;51,"36-50",IF(hospital_patient_unclean_500__2[[#This Row],[Age]]&lt;66,"51-65","66+"))))</f>
        <v>18-35</v>
      </c>
    </row>
    <row r="329" spans="1:16" x14ac:dyDescent="0.3">
      <c r="A329" s="5" t="s">
        <v>617</v>
      </c>
      <c r="B329" s="5" t="s">
        <v>618</v>
      </c>
      <c r="C329" s="6">
        <v>13</v>
      </c>
      <c r="D329" s="5" t="s">
        <v>51</v>
      </c>
      <c r="E329" s="5" t="s">
        <v>124</v>
      </c>
      <c r="F329" s="5" t="s">
        <v>28</v>
      </c>
      <c r="G329" s="5" t="s">
        <v>29</v>
      </c>
      <c r="H329" s="7">
        <v>45912</v>
      </c>
      <c r="I329" s="7">
        <v>45919</v>
      </c>
      <c r="J329" s="5" t="s">
        <v>30</v>
      </c>
      <c r="K329" s="5" t="s">
        <v>31</v>
      </c>
      <c r="L329" s="8">
        <v>260952.41</v>
      </c>
      <c r="M329" s="5" t="s">
        <v>72</v>
      </c>
      <c r="N329" s="5" t="s">
        <v>65</v>
      </c>
      <c r="O329" s="5" t="s">
        <v>25</v>
      </c>
      <c r="P329" s="5" t="str">
        <f>IF(hospital_patient_unclean_500__2[[#This Row],[Age]]&lt;18,"0-17",IF(hospital_patient_unclean_500__2[[#This Row],[Age]]&lt;36,"18-35",IF(hospital_patient_unclean_500__2[[#This Row],[Age]]&lt;51,"36-50",IF(hospital_patient_unclean_500__2[[#This Row],[Age]]&lt;66,"51-65","66+"))))</f>
        <v>0-17</v>
      </c>
    </row>
    <row r="330" spans="1:16" x14ac:dyDescent="0.3">
      <c r="A330" s="5" t="s">
        <v>856</v>
      </c>
      <c r="B330" s="5" t="s">
        <v>819</v>
      </c>
      <c r="C330" s="6">
        <v>11</v>
      </c>
      <c r="D330" s="5" t="s">
        <v>17</v>
      </c>
      <c r="E330" s="5" t="s">
        <v>68</v>
      </c>
      <c r="F330" s="5" t="s">
        <v>132</v>
      </c>
      <c r="G330" s="5" t="s">
        <v>223</v>
      </c>
      <c r="H330" s="7">
        <v>45922</v>
      </c>
      <c r="I330" s="7">
        <v>45936</v>
      </c>
      <c r="J330" s="5" t="s">
        <v>134</v>
      </c>
      <c r="K330" s="5" t="s">
        <v>135</v>
      </c>
      <c r="L330" s="8">
        <v>207466.81</v>
      </c>
      <c r="M330" s="5" t="s">
        <v>72</v>
      </c>
      <c r="N330" s="5" t="s">
        <v>61</v>
      </c>
      <c r="O330" s="5" t="s">
        <v>34</v>
      </c>
      <c r="P330" s="5" t="str">
        <f>IF(hospital_patient_unclean_500__2[[#This Row],[Age]]&lt;18,"0-17",IF(hospital_patient_unclean_500__2[[#This Row],[Age]]&lt;36,"18-35",IF(hospital_patient_unclean_500__2[[#This Row],[Age]]&lt;51,"36-50",IF(hospital_patient_unclean_500__2[[#This Row],[Age]]&lt;66,"51-65","66+"))))</f>
        <v>0-17</v>
      </c>
    </row>
    <row r="331" spans="1:16" x14ac:dyDescent="0.3">
      <c r="A331" s="5" t="s">
        <v>619</v>
      </c>
      <c r="B331" s="5" t="s">
        <v>819</v>
      </c>
      <c r="C331" s="6">
        <v>44</v>
      </c>
      <c r="D331" s="5" t="s">
        <v>17</v>
      </c>
      <c r="E331" s="5" t="s">
        <v>37</v>
      </c>
      <c r="F331" s="5" t="s">
        <v>132</v>
      </c>
      <c r="G331" s="5" t="s">
        <v>138</v>
      </c>
      <c r="H331" s="7">
        <v>45798</v>
      </c>
      <c r="I331" s="7">
        <v>45891</v>
      </c>
      <c r="J331" s="5" t="s">
        <v>134</v>
      </c>
      <c r="K331" s="5" t="s">
        <v>135</v>
      </c>
      <c r="L331" s="8">
        <v>95338</v>
      </c>
      <c r="M331" s="5" t="s">
        <v>32</v>
      </c>
      <c r="N331" s="5" t="s">
        <v>24</v>
      </c>
      <c r="O331" s="5" t="s">
        <v>41</v>
      </c>
      <c r="P331" s="5" t="str">
        <f>IF(hospital_patient_unclean_500__2[[#This Row],[Age]]&lt;18,"0-17",IF(hospital_patient_unclean_500__2[[#This Row],[Age]]&lt;36,"18-35",IF(hospital_patient_unclean_500__2[[#This Row],[Age]]&lt;51,"36-50",IF(hospital_patient_unclean_500__2[[#This Row],[Age]]&lt;66,"51-65","66+"))))</f>
        <v>36-50</v>
      </c>
    </row>
    <row r="332" spans="1:16" x14ac:dyDescent="0.3">
      <c r="A332" s="5" t="s">
        <v>620</v>
      </c>
      <c r="B332" s="5" t="s">
        <v>266</v>
      </c>
      <c r="C332" s="6">
        <v>44</v>
      </c>
      <c r="D332" s="5" t="s">
        <v>51</v>
      </c>
      <c r="E332" s="5" t="s">
        <v>37</v>
      </c>
      <c r="F332" s="5" t="s">
        <v>132</v>
      </c>
      <c r="G332" s="5" t="s">
        <v>138</v>
      </c>
      <c r="H332" s="7">
        <v>45838</v>
      </c>
      <c r="I332" s="7">
        <v>45846</v>
      </c>
      <c r="J332" s="5" t="s">
        <v>819</v>
      </c>
      <c r="K332" s="5" t="s">
        <v>148</v>
      </c>
      <c r="L332" s="8">
        <v>14889.03</v>
      </c>
      <c r="M332" s="5" t="s">
        <v>23</v>
      </c>
      <c r="N332" s="5" t="s">
        <v>24</v>
      </c>
      <c r="O332" s="5" t="s">
        <v>93</v>
      </c>
      <c r="P332" s="5" t="str">
        <f>IF(hospital_patient_unclean_500__2[[#This Row],[Age]]&lt;18,"0-17",IF(hospital_patient_unclean_500__2[[#This Row],[Age]]&lt;36,"18-35",IF(hospital_patient_unclean_500__2[[#This Row],[Age]]&lt;51,"36-50",IF(hospital_patient_unclean_500__2[[#This Row],[Age]]&lt;66,"51-65","66+"))))</f>
        <v>36-50</v>
      </c>
    </row>
    <row r="333" spans="1:16" x14ac:dyDescent="0.3">
      <c r="A333" s="5" t="s">
        <v>621</v>
      </c>
      <c r="B333" s="5" t="s">
        <v>166</v>
      </c>
      <c r="C333" s="6">
        <v>28</v>
      </c>
      <c r="D333" s="5" t="s">
        <v>819</v>
      </c>
      <c r="E333" s="5" t="s">
        <v>111</v>
      </c>
      <c r="F333" s="5" t="s">
        <v>44</v>
      </c>
      <c r="G333" s="5" t="s">
        <v>153</v>
      </c>
      <c r="H333" s="7">
        <v>45930</v>
      </c>
      <c r="I333" s="7">
        <v>45930</v>
      </c>
      <c r="J333" s="5" t="s">
        <v>244</v>
      </c>
      <c r="K333" s="5" t="s">
        <v>280</v>
      </c>
      <c r="L333" s="8">
        <v>349492.38</v>
      </c>
      <c r="M333" s="5" t="s">
        <v>32</v>
      </c>
      <c r="N333" s="5" t="s">
        <v>61</v>
      </c>
      <c r="O333" s="5" t="s">
        <v>41</v>
      </c>
      <c r="P333" s="5" t="str">
        <f>IF(hospital_patient_unclean_500__2[[#This Row],[Age]]&lt;18,"0-17",IF(hospital_patient_unclean_500__2[[#This Row],[Age]]&lt;36,"18-35",IF(hospital_patient_unclean_500__2[[#This Row],[Age]]&lt;51,"36-50",IF(hospital_patient_unclean_500__2[[#This Row],[Age]]&lt;66,"51-65","66+"))))</f>
        <v>18-35</v>
      </c>
    </row>
    <row r="334" spans="1:16" x14ac:dyDescent="0.3">
      <c r="A334" s="5" t="s">
        <v>622</v>
      </c>
      <c r="B334" s="5" t="s">
        <v>36</v>
      </c>
      <c r="C334" s="6">
        <v>75</v>
      </c>
      <c r="D334" s="5" t="s">
        <v>51</v>
      </c>
      <c r="E334" s="5" t="s">
        <v>86</v>
      </c>
      <c r="F334" s="5" t="s">
        <v>28</v>
      </c>
      <c r="G334" s="5" t="s">
        <v>101</v>
      </c>
      <c r="H334" s="7">
        <v>45824</v>
      </c>
      <c r="I334" s="7">
        <v>45824</v>
      </c>
      <c r="J334" s="5" t="s">
        <v>30</v>
      </c>
      <c r="K334" s="5" t="s">
        <v>31</v>
      </c>
      <c r="L334" s="8">
        <v>243735.89</v>
      </c>
      <c r="M334" s="5" t="s">
        <v>32</v>
      </c>
      <c r="N334" s="5" t="s">
        <v>65</v>
      </c>
      <c r="O334" s="5" t="s">
        <v>820</v>
      </c>
      <c r="P334" s="5" t="str">
        <f>IF(hospital_patient_unclean_500__2[[#This Row],[Age]]&lt;18,"0-17",IF(hospital_patient_unclean_500__2[[#This Row],[Age]]&lt;36,"18-35",IF(hospital_patient_unclean_500__2[[#This Row],[Age]]&lt;51,"36-50",IF(hospital_patient_unclean_500__2[[#This Row],[Age]]&lt;66,"51-65","66+"))))</f>
        <v>66+</v>
      </c>
    </row>
    <row r="335" spans="1:16" x14ac:dyDescent="0.3">
      <c r="A335" s="5" t="s">
        <v>623</v>
      </c>
      <c r="B335" s="5" t="s">
        <v>422</v>
      </c>
      <c r="C335" s="6">
        <v>58</v>
      </c>
      <c r="D335" s="5" t="s">
        <v>17</v>
      </c>
      <c r="E335" s="5" t="s">
        <v>52</v>
      </c>
      <c r="F335" s="5" t="s">
        <v>19</v>
      </c>
      <c r="G335" s="5" t="s">
        <v>20</v>
      </c>
      <c r="H335" s="7">
        <v>45718</v>
      </c>
      <c r="I335" s="7">
        <v>45732</v>
      </c>
      <c r="J335" s="5" t="s">
        <v>21</v>
      </c>
      <c r="K335" s="5" t="s">
        <v>22</v>
      </c>
      <c r="L335" s="8">
        <v>27887.8</v>
      </c>
      <c r="M335" s="5" t="s">
        <v>32</v>
      </c>
      <c r="N335" s="5" t="s">
        <v>33</v>
      </c>
      <c r="O335" s="5" t="s">
        <v>820</v>
      </c>
      <c r="P335" s="5" t="str">
        <f>IF(hospital_patient_unclean_500__2[[#This Row],[Age]]&lt;18,"0-17",IF(hospital_patient_unclean_500__2[[#This Row],[Age]]&lt;36,"18-35",IF(hospital_patient_unclean_500__2[[#This Row],[Age]]&lt;51,"36-50",IF(hospital_patient_unclean_500__2[[#This Row],[Age]]&lt;66,"51-65","66+"))))</f>
        <v>51-65</v>
      </c>
    </row>
    <row r="336" spans="1:16" x14ac:dyDescent="0.3">
      <c r="A336" s="5" t="s">
        <v>624</v>
      </c>
      <c r="B336" s="5" t="s">
        <v>561</v>
      </c>
      <c r="C336" s="6">
        <v>75</v>
      </c>
      <c r="D336" s="5" t="s">
        <v>17</v>
      </c>
      <c r="E336" s="5" t="s">
        <v>18</v>
      </c>
      <c r="F336" s="5" t="s">
        <v>132</v>
      </c>
      <c r="G336" s="5" t="s">
        <v>138</v>
      </c>
      <c r="H336" s="7">
        <v>46001</v>
      </c>
      <c r="I336" s="7">
        <v>46015</v>
      </c>
      <c r="J336" s="5" t="s">
        <v>134</v>
      </c>
      <c r="K336" s="5" t="s">
        <v>135</v>
      </c>
      <c r="L336" s="8">
        <v>207167.51</v>
      </c>
      <c r="M336" s="5" t="s">
        <v>99</v>
      </c>
      <c r="N336" s="5" t="s">
        <v>61</v>
      </c>
      <c r="O336" s="5" t="s">
        <v>820</v>
      </c>
      <c r="P336" s="5" t="str">
        <f>IF(hospital_patient_unclean_500__2[[#This Row],[Age]]&lt;18,"0-17",IF(hospital_patient_unclean_500__2[[#This Row],[Age]]&lt;36,"18-35",IF(hospital_patient_unclean_500__2[[#This Row],[Age]]&lt;51,"36-50",IF(hospital_patient_unclean_500__2[[#This Row],[Age]]&lt;66,"51-65","66+"))))</f>
        <v>66+</v>
      </c>
    </row>
    <row r="337" spans="1:16" x14ac:dyDescent="0.3">
      <c r="A337" s="5" t="s">
        <v>625</v>
      </c>
      <c r="B337" s="5" t="s">
        <v>438</v>
      </c>
      <c r="C337" s="6">
        <v>30</v>
      </c>
      <c r="D337" s="5" t="s">
        <v>17</v>
      </c>
      <c r="E337" s="5" t="s">
        <v>68</v>
      </c>
      <c r="F337" s="5" t="s">
        <v>132</v>
      </c>
      <c r="G337" s="5" t="s">
        <v>138</v>
      </c>
      <c r="H337" s="7">
        <v>45844</v>
      </c>
      <c r="I337" s="7">
        <v>45846</v>
      </c>
      <c r="J337" s="5" t="s">
        <v>147</v>
      </c>
      <c r="K337" s="5" t="s">
        <v>148</v>
      </c>
      <c r="L337" s="8">
        <v>160039.89000000001</v>
      </c>
      <c r="M337" s="5" t="s">
        <v>47</v>
      </c>
      <c r="N337" s="5" t="s">
        <v>61</v>
      </c>
      <c r="O337" s="5" t="s">
        <v>34</v>
      </c>
      <c r="P337" s="5" t="str">
        <f>IF(hospital_patient_unclean_500__2[[#This Row],[Age]]&lt;18,"0-17",IF(hospital_patient_unclean_500__2[[#This Row],[Age]]&lt;36,"18-35",IF(hospital_patient_unclean_500__2[[#This Row],[Age]]&lt;51,"36-50",IF(hospital_patient_unclean_500__2[[#This Row],[Age]]&lt;66,"51-65","66+"))))</f>
        <v>18-35</v>
      </c>
    </row>
    <row r="338" spans="1:16" x14ac:dyDescent="0.3">
      <c r="A338" s="5" t="s">
        <v>626</v>
      </c>
      <c r="B338" s="5" t="s">
        <v>372</v>
      </c>
      <c r="C338" s="6">
        <v>76</v>
      </c>
      <c r="D338" s="5" t="s">
        <v>17</v>
      </c>
      <c r="E338" s="5" t="s">
        <v>819</v>
      </c>
      <c r="F338" s="5" t="s">
        <v>19</v>
      </c>
      <c r="G338" s="5" t="s">
        <v>158</v>
      </c>
      <c r="H338" s="7">
        <v>45855</v>
      </c>
      <c r="I338" s="7">
        <v>45855</v>
      </c>
      <c r="J338" s="5" t="s">
        <v>120</v>
      </c>
      <c r="K338" s="5" t="s">
        <v>121</v>
      </c>
      <c r="L338" s="8">
        <v>333754.68</v>
      </c>
      <c r="M338" s="5" t="s">
        <v>47</v>
      </c>
      <c r="N338" s="5" t="s">
        <v>24</v>
      </c>
      <c r="O338" s="5" t="s">
        <v>41</v>
      </c>
      <c r="P338" s="5" t="str">
        <f>IF(hospital_patient_unclean_500__2[[#This Row],[Age]]&lt;18,"0-17",IF(hospital_patient_unclean_500__2[[#This Row],[Age]]&lt;36,"18-35",IF(hospital_patient_unclean_500__2[[#This Row],[Age]]&lt;51,"36-50",IF(hospital_patient_unclean_500__2[[#This Row],[Age]]&lt;66,"51-65","66+"))))</f>
        <v>66+</v>
      </c>
    </row>
    <row r="339" spans="1:16" x14ac:dyDescent="0.3">
      <c r="A339" s="5" t="s">
        <v>857</v>
      </c>
      <c r="B339" s="5" t="s">
        <v>627</v>
      </c>
      <c r="C339" s="6">
        <v>44</v>
      </c>
      <c r="D339" s="5" t="s">
        <v>51</v>
      </c>
      <c r="E339" s="5" t="s">
        <v>37</v>
      </c>
      <c r="F339" s="5" t="s">
        <v>132</v>
      </c>
      <c r="G339" s="5" t="s">
        <v>133</v>
      </c>
      <c r="H339" s="7">
        <v>45967</v>
      </c>
      <c r="I339" s="7">
        <v>45967</v>
      </c>
      <c r="J339" s="5" t="s">
        <v>147</v>
      </c>
      <c r="K339" s="5" t="s">
        <v>148</v>
      </c>
      <c r="L339" s="8">
        <v>65658.62</v>
      </c>
      <c r="M339" s="5" t="s">
        <v>23</v>
      </c>
      <c r="N339" s="5" t="s">
        <v>33</v>
      </c>
      <c r="O339" s="5" t="s">
        <v>41</v>
      </c>
      <c r="P339" s="5" t="str">
        <f>IF(hospital_patient_unclean_500__2[[#This Row],[Age]]&lt;18,"0-17",IF(hospital_patient_unclean_500__2[[#This Row],[Age]]&lt;36,"18-35",IF(hospital_patient_unclean_500__2[[#This Row],[Age]]&lt;51,"36-50",IF(hospital_patient_unclean_500__2[[#This Row],[Age]]&lt;66,"51-65","66+"))))</f>
        <v>36-50</v>
      </c>
    </row>
    <row r="340" spans="1:16" x14ac:dyDescent="0.3">
      <c r="A340" s="5" t="s">
        <v>628</v>
      </c>
      <c r="B340" s="5" t="s">
        <v>376</v>
      </c>
      <c r="C340" s="6">
        <v>47</v>
      </c>
      <c r="D340" s="5" t="s">
        <v>17</v>
      </c>
      <c r="E340" s="5" t="s">
        <v>68</v>
      </c>
      <c r="F340" s="5" t="s">
        <v>19</v>
      </c>
      <c r="G340" s="5" t="s">
        <v>105</v>
      </c>
      <c r="H340" s="7">
        <v>45995</v>
      </c>
      <c r="I340" s="7">
        <v>45995</v>
      </c>
      <c r="J340" s="5" t="s">
        <v>120</v>
      </c>
      <c r="K340" s="5" t="s">
        <v>121</v>
      </c>
      <c r="L340" s="8">
        <v>100093.93</v>
      </c>
      <c r="M340" s="5" t="s">
        <v>40</v>
      </c>
      <c r="N340" s="5" t="s">
        <v>48</v>
      </c>
      <c r="O340" s="5" t="s">
        <v>820</v>
      </c>
      <c r="P340" s="5" t="str">
        <f>IF(hospital_patient_unclean_500__2[[#This Row],[Age]]&lt;18,"0-17",IF(hospital_patient_unclean_500__2[[#This Row],[Age]]&lt;36,"18-35",IF(hospital_patient_unclean_500__2[[#This Row],[Age]]&lt;51,"36-50",IF(hospital_patient_unclean_500__2[[#This Row],[Age]]&lt;66,"51-65","66+"))))</f>
        <v>36-50</v>
      </c>
    </row>
    <row r="341" spans="1:16" x14ac:dyDescent="0.3">
      <c r="A341" s="5" t="s">
        <v>629</v>
      </c>
      <c r="B341" s="5" t="s">
        <v>374</v>
      </c>
      <c r="C341" s="6">
        <v>19</v>
      </c>
      <c r="D341" s="5" t="s">
        <v>51</v>
      </c>
      <c r="E341" s="5" t="s">
        <v>18</v>
      </c>
      <c r="F341" s="5" t="s">
        <v>87</v>
      </c>
      <c r="G341" s="5" t="s">
        <v>112</v>
      </c>
      <c r="H341" s="7">
        <v>45757</v>
      </c>
      <c r="I341" s="7">
        <v>45764</v>
      </c>
      <c r="J341" s="5" t="s">
        <v>216</v>
      </c>
      <c r="K341" s="5" t="s">
        <v>839</v>
      </c>
      <c r="L341" s="8">
        <v>251416.32000000001</v>
      </c>
      <c r="M341" s="5" t="s">
        <v>60</v>
      </c>
      <c r="N341" s="5" t="s">
        <v>33</v>
      </c>
      <c r="O341" s="5" t="s">
        <v>25</v>
      </c>
      <c r="P341" s="5" t="str">
        <f>IF(hospital_patient_unclean_500__2[[#This Row],[Age]]&lt;18,"0-17",IF(hospital_patient_unclean_500__2[[#This Row],[Age]]&lt;36,"18-35",IF(hospital_patient_unclean_500__2[[#This Row],[Age]]&lt;51,"36-50",IF(hospital_patient_unclean_500__2[[#This Row],[Age]]&lt;66,"51-65","66+"))))</f>
        <v>18-35</v>
      </c>
    </row>
    <row r="342" spans="1:16" x14ac:dyDescent="0.3">
      <c r="A342" s="5" t="s">
        <v>630</v>
      </c>
      <c r="B342" s="5" t="s">
        <v>386</v>
      </c>
      <c r="C342" s="6">
        <v>7</v>
      </c>
      <c r="D342" s="5" t="s">
        <v>51</v>
      </c>
      <c r="E342" s="5" t="s">
        <v>64</v>
      </c>
      <c r="F342" s="5" t="s">
        <v>38</v>
      </c>
      <c r="G342" s="5" t="s">
        <v>79</v>
      </c>
      <c r="H342" s="7">
        <v>45818</v>
      </c>
      <c r="I342" s="7">
        <v>45835</v>
      </c>
      <c r="J342" s="5" t="s">
        <v>828</v>
      </c>
      <c r="K342" s="5" t="s">
        <v>39</v>
      </c>
      <c r="L342" s="8">
        <v>267165.83</v>
      </c>
      <c r="M342" s="5" t="s">
        <v>32</v>
      </c>
      <c r="N342" s="5" t="s">
        <v>24</v>
      </c>
      <c r="O342" s="5" t="s">
        <v>34</v>
      </c>
      <c r="P342" s="5" t="str">
        <f>IF(hospital_patient_unclean_500__2[[#This Row],[Age]]&lt;18,"0-17",IF(hospital_patient_unclean_500__2[[#This Row],[Age]]&lt;36,"18-35",IF(hospital_patient_unclean_500__2[[#This Row],[Age]]&lt;51,"36-50",IF(hospital_patient_unclean_500__2[[#This Row],[Age]]&lt;66,"51-65","66+"))))</f>
        <v>0-17</v>
      </c>
    </row>
    <row r="343" spans="1:16" x14ac:dyDescent="0.3">
      <c r="A343" s="5" t="s">
        <v>631</v>
      </c>
      <c r="B343" s="5" t="s">
        <v>490</v>
      </c>
      <c r="C343" s="6">
        <v>62</v>
      </c>
      <c r="D343" s="5" t="s">
        <v>17</v>
      </c>
      <c r="E343" s="5" t="s">
        <v>18</v>
      </c>
      <c r="F343" s="5" t="s">
        <v>19</v>
      </c>
      <c r="G343" s="5" t="s">
        <v>105</v>
      </c>
      <c r="H343" s="7">
        <v>45909</v>
      </c>
      <c r="I343" s="7">
        <v>45923</v>
      </c>
      <c r="J343" s="5" t="s">
        <v>267</v>
      </c>
      <c r="K343" s="5" t="s">
        <v>268</v>
      </c>
      <c r="L343" s="8">
        <v>288098.34000000003</v>
      </c>
      <c r="M343" s="5" t="s">
        <v>47</v>
      </c>
      <c r="N343" s="5" t="s">
        <v>65</v>
      </c>
      <c r="O343" s="5" t="s">
        <v>25</v>
      </c>
      <c r="P343" s="5" t="str">
        <f>IF(hospital_patient_unclean_500__2[[#This Row],[Age]]&lt;18,"0-17",IF(hospital_patient_unclean_500__2[[#This Row],[Age]]&lt;36,"18-35",IF(hospital_patient_unclean_500__2[[#This Row],[Age]]&lt;51,"36-50",IF(hospital_patient_unclean_500__2[[#This Row],[Age]]&lt;66,"51-65","66+"))))</f>
        <v>51-65</v>
      </c>
    </row>
    <row r="344" spans="1:16" x14ac:dyDescent="0.3">
      <c r="A344" s="5" t="s">
        <v>632</v>
      </c>
      <c r="B344" s="5" t="s">
        <v>633</v>
      </c>
      <c r="C344" s="6">
        <v>19</v>
      </c>
      <c r="D344" s="5" t="s">
        <v>17</v>
      </c>
      <c r="E344" s="5" t="s">
        <v>634</v>
      </c>
      <c r="F344" s="5" t="s">
        <v>28</v>
      </c>
      <c r="G344" s="5" t="s">
        <v>29</v>
      </c>
      <c r="H344" s="7">
        <v>45860</v>
      </c>
      <c r="I344" s="7">
        <v>45867</v>
      </c>
      <c r="J344" s="5" t="s">
        <v>102</v>
      </c>
      <c r="K344" s="5" t="s">
        <v>103</v>
      </c>
      <c r="L344" s="8">
        <v>154000.01</v>
      </c>
      <c r="M344" s="5" t="s">
        <v>32</v>
      </c>
      <c r="N344" s="5" t="s">
        <v>61</v>
      </c>
      <c r="O344" s="5" t="s">
        <v>93</v>
      </c>
      <c r="P344" s="5" t="str">
        <f>IF(hospital_patient_unclean_500__2[[#This Row],[Age]]&lt;18,"0-17",IF(hospital_patient_unclean_500__2[[#This Row],[Age]]&lt;36,"18-35",IF(hospital_patient_unclean_500__2[[#This Row],[Age]]&lt;51,"36-50",IF(hospital_patient_unclean_500__2[[#This Row],[Age]]&lt;66,"51-65","66+"))))</f>
        <v>18-35</v>
      </c>
    </row>
    <row r="345" spans="1:16" x14ac:dyDescent="0.3">
      <c r="A345" s="5" t="s">
        <v>635</v>
      </c>
      <c r="B345" s="5" t="s">
        <v>613</v>
      </c>
      <c r="C345" s="6">
        <v>70</v>
      </c>
      <c r="D345" s="5" t="s">
        <v>17</v>
      </c>
      <c r="E345" s="5" t="s">
        <v>37</v>
      </c>
      <c r="F345" s="5" t="s">
        <v>132</v>
      </c>
      <c r="G345" s="5" t="s">
        <v>138</v>
      </c>
      <c r="H345" s="7">
        <v>45704</v>
      </c>
      <c r="I345" s="7">
        <v>45710</v>
      </c>
      <c r="J345" s="5" t="s">
        <v>173</v>
      </c>
      <c r="K345" s="5" t="s">
        <v>174</v>
      </c>
      <c r="L345" s="8">
        <v>28856.82</v>
      </c>
      <c r="M345" s="5" t="s">
        <v>72</v>
      </c>
      <c r="N345" s="5" t="s">
        <v>24</v>
      </c>
      <c r="O345" s="5" t="s">
        <v>34</v>
      </c>
      <c r="P345" s="5" t="str">
        <f>IF(hospital_patient_unclean_500__2[[#This Row],[Age]]&lt;18,"0-17",IF(hospital_patient_unclean_500__2[[#This Row],[Age]]&lt;36,"18-35",IF(hospital_patient_unclean_500__2[[#This Row],[Age]]&lt;51,"36-50",IF(hospital_patient_unclean_500__2[[#This Row],[Age]]&lt;66,"51-65","66+"))))</f>
        <v>66+</v>
      </c>
    </row>
    <row r="346" spans="1:16" x14ac:dyDescent="0.3">
      <c r="A346" s="5" t="s">
        <v>636</v>
      </c>
      <c r="B346" s="5" t="s">
        <v>637</v>
      </c>
      <c r="C346" s="6">
        <v>2</v>
      </c>
      <c r="D346" s="5" t="s">
        <v>17</v>
      </c>
      <c r="E346" s="5" t="s">
        <v>43</v>
      </c>
      <c r="F346" s="5" t="s">
        <v>28</v>
      </c>
      <c r="G346" s="5" t="s">
        <v>29</v>
      </c>
      <c r="H346" s="7">
        <v>45776</v>
      </c>
      <c r="I346" s="7">
        <v>45851</v>
      </c>
      <c r="J346" s="5" t="s">
        <v>102</v>
      </c>
      <c r="K346" s="5" t="s">
        <v>103</v>
      </c>
      <c r="L346" s="8">
        <v>302163.73</v>
      </c>
      <c r="M346" s="5" t="s">
        <v>99</v>
      </c>
      <c r="N346" s="5" t="s">
        <v>48</v>
      </c>
      <c r="O346" s="5" t="s">
        <v>41</v>
      </c>
      <c r="P346" s="5" t="str">
        <f>IF(hospital_patient_unclean_500__2[[#This Row],[Age]]&lt;18,"0-17",IF(hospital_patient_unclean_500__2[[#This Row],[Age]]&lt;36,"18-35",IF(hospital_patient_unclean_500__2[[#This Row],[Age]]&lt;51,"36-50",IF(hospital_patient_unclean_500__2[[#This Row],[Age]]&lt;66,"51-65","66+"))))</f>
        <v>0-17</v>
      </c>
    </row>
    <row r="347" spans="1:16" x14ac:dyDescent="0.3">
      <c r="A347" s="5" t="s">
        <v>638</v>
      </c>
      <c r="B347" s="5" t="s">
        <v>27</v>
      </c>
      <c r="C347" s="6">
        <v>60</v>
      </c>
      <c r="D347" s="5" t="s">
        <v>51</v>
      </c>
      <c r="E347" s="5" t="s">
        <v>64</v>
      </c>
      <c r="F347" s="5" t="s">
        <v>87</v>
      </c>
      <c r="G347" s="5" t="s">
        <v>88</v>
      </c>
      <c r="H347" s="7">
        <v>45790</v>
      </c>
      <c r="I347" s="7">
        <v>45921</v>
      </c>
      <c r="J347" s="5" t="s">
        <v>216</v>
      </c>
      <c r="K347" s="5" t="s">
        <v>839</v>
      </c>
      <c r="L347" s="8">
        <v>24847.62</v>
      </c>
      <c r="M347" s="5" t="s">
        <v>72</v>
      </c>
      <c r="N347" s="5" t="s">
        <v>48</v>
      </c>
      <c r="O347" s="5" t="s">
        <v>41</v>
      </c>
      <c r="P347" s="5" t="str">
        <f>IF(hospital_patient_unclean_500__2[[#This Row],[Age]]&lt;18,"0-17",IF(hospital_patient_unclean_500__2[[#This Row],[Age]]&lt;36,"18-35",IF(hospital_patient_unclean_500__2[[#This Row],[Age]]&lt;51,"36-50",IF(hospital_patient_unclean_500__2[[#This Row],[Age]]&lt;66,"51-65","66+"))))</f>
        <v>51-65</v>
      </c>
    </row>
    <row r="348" spans="1:16" x14ac:dyDescent="0.3">
      <c r="A348" s="5" t="s">
        <v>639</v>
      </c>
      <c r="B348" s="5" t="s">
        <v>640</v>
      </c>
      <c r="C348" s="6">
        <v>24</v>
      </c>
      <c r="D348" s="5" t="s">
        <v>17</v>
      </c>
      <c r="E348" s="5" t="s">
        <v>64</v>
      </c>
      <c r="F348" s="5" t="s">
        <v>28</v>
      </c>
      <c r="G348" s="5" t="s">
        <v>101</v>
      </c>
      <c r="H348" s="7">
        <v>45983</v>
      </c>
      <c r="I348" s="7">
        <v>45991</v>
      </c>
      <c r="J348" s="5" t="s">
        <v>75</v>
      </c>
      <c r="K348" s="5" t="s">
        <v>76</v>
      </c>
      <c r="L348" s="8">
        <v>75690.77</v>
      </c>
      <c r="M348" s="5" t="s">
        <v>72</v>
      </c>
      <c r="N348" s="5" t="s">
        <v>61</v>
      </c>
      <c r="O348" s="5" t="s">
        <v>93</v>
      </c>
      <c r="P348" s="5" t="str">
        <f>IF(hospital_patient_unclean_500__2[[#This Row],[Age]]&lt;18,"0-17",IF(hospital_patient_unclean_500__2[[#This Row],[Age]]&lt;36,"18-35",IF(hospital_patient_unclean_500__2[[#This Row],[Age]]&lt;51,"36-50",IF(hospital_patient_unclean_500__2[[#This Row],[Age]]&lt;66,"51-65","66+"))))</f>
        <v>18-35</v>
      </c>
    </row>
    <row r="349" spans="1:16" x14ac:dyDescent="0.3">
      <c r="A349" s="5" t="s">
        <v>641</v>
      </c>
      <c r="B349" s="5" t="s">
        <v>333</v>
      </c>
      <c r="C349" s="6">
        <v>44</v>
      </c>
      <c r="D349" s="5" t="s">
        <v>17</v>
      </c>
      <c r="E349" s="5" t="s">
        <v>64</v>
      </c>
      <c r="F349" s="5" t="s">
        <v>819</v>
      </c>
      <c r="G349" s="5" t="s">
        <v>195</v>
      </c>
      <c r="H349" s="7">
        <v>46017</v>
      </c>
      <c r="I349" s="7">
        <v>46031</v>
      </c>
      <c r="J349" s="5" t="s">
        <v>75</v>
      </c>
      <c r="K349" s="5" t="s">
        <v>76</v>
      </c>
      <c r="L349" s="8">
        <v>292142.3</v>
      </c>
      <c r="M349" s="5" t="s">
        <v>60</v>
      </c>
      <c r="N349" s="5" t="s">
        <v>61</v>
      </c>
      <c r="O349" s="5" t="s">
        <v>34</v>
      </c>
      <c r="P349" s="5" t="str">
        <f>IF(hospital_patient_unclean_500__2[[#This Row],[Age]]&lt;18,"0-17",IF(hospital_patient_unclean_500__2[[#This Row],[Age]]&lt;36,"18-35",IF(hospital_patient_unclean_500__2[[#This Row],[Age]]&lt;51,"36-50",IF(hospital_patient_unclean_500__2[[#This Row],[Age]]&lt;66,"51-65","66+"))))</f>
        <v>36-50</v>
      </c>
    </row>
    <row r="350" spans="1:16" x14ac:dyDescent="0.3">
      <c r="A350" s="5" t="s">
        <v>642</v>
      </c>
      <c r="B350" s="5" t="s">
        <v>643</v>
      </c>
      <c r="C350" s="6">
        <v>56</v>
      </c>
      <c r="D350" s="5" t="s">
        <v>17</v>
      </c>
      <c r="E350" s="5" t="s">
        <v>819</v>
      </c>
      <c r="F350" s="5" t="s">
        <v>19</v>
      </c>
      <c r="G350" s="5" t="s">
        <v>20</v>
      </c>
      <c r="H350" s="7">
        <v>45977</v>
      </c>
      <c r="I350" s="7">
        <v>45977</v>
      </c>
      <c r="J350" s="5" t="s">
        <v>21</v>
      </c>
      <c r="K350" s="5" t="s">
        <v>22</v>
      </c>
      <c r="L350" s="8">
        <v>218516.52</v>
      </c>
      <c r="M350" s="5" t="s">
        <v>60</v>
      </c>
      <c r="N350" s="5" t="s">
        <v>24</v>
      </c>
      <c r="O350" s="5" t="s">
        <v>41</v>
      </c>
      <c r="P350" s="5" t="str">
        <f>IF(hospital_patient_unclean_500__2[[#This Row],[Age]]&lt;18,"0-17",IF(hospital_patient_unclean_500__2[[#This Row],[Age]]&lt;36,"18-35",IF(hospital_patient_unclean_500__2[[#This Row],[Age]]&lt;51,"36-50",IF(hospital_patient_unclean_500__2[[#This Row],[Age]]&lt;66,"51-65","66+"))))</f>
        <v>51-65</v>
      </c>
    </row>
    <row r="351" spans="1:16" x14ac:dyDescent="0.3">
      <c r="A351" s="5" t="s">
        <v>644</v>
      </c>
      <c r="B351" s="5" t="s">
        <v>645</v>
      </c>
      <c r="C351" s="6">
        <v>10</v>
      </c>
      <c r="D351" s="5" t="s">
        <v>17</v>
      </c>
      <c r="E351" s="5" t="s">
        <v>64</v>
      </c>
      <c r="F351" s="5" t="s">
        <v>44</v>
      </c>
      <c r="G351" s="5" t="s">
        <v>45</v>
      </c>
      <c r="H351" s="7">
        <v>45785</v>
      </c>
      <c r="I351" s="7">
        <v>45799</v>
      </c>
      <c r="J351" s="5" t="s">
        <v>830</v>
      </c>
      <c r="K351" s="5" t="s">
        <v>46</v>
      </c>
      <c r="L351" s="8">
        <v>169398.15</v>
      </c>
      <c r="M351" s="5" t="s">
        <v>40</v>
      </c>
      <c r="N351" s="5" t="s">
        <v>33</v>
      </c>
      <c r="O351" s="5" t="s">
        <v>25</v>
      </c>
      <c r="P351" s="5" t="str">
        <f>IF(hospital_patient_unclean_500__2[[#This Row],[Age]]&lt;18,"0-17",IF(hospital_patient_unclean_500__2[[#This Row],[Age]]&lt;36,"18-35",IF(hospital_patient_unclean_500__2[[#This Row],[Age]]&lt;51,"36-50",IF(hospital_patient_unclean_500__2[[#This Row],[Age]]&lt;66,"51-65","66+"))))</f>
        <v>0-17</v>
      </c>
    </row>
    <row r="352" spans="1:16" x14ac:dyDescent="0.3">
      <c r="A352" s="5" t="s">
        <v>646</v>
      </c>
      <c r="B352" s="5" t="s">
        <v>647</v>
      </c>
      <c r="C352" s="6">
        <v>19</v>
      </c>
      <c r="D352" s="5" t="s">
        <v>51</v>
      </c>
      <c r="E352" s="5" t="s">
        <v>68</v>
      </c>
      <c r="F352" s="5" t="s">
        <v>38</v>
      </c>
      <c r="G352" s="5" t="s">
        <v>125</v>
      </c>
      <c r="H352" s="7">
        <v>45934</v>
      </c>
      <c r="I352" s="7">
        <v>45934</v>
      </c>
      <c r="J352" s="5" t="s">
        <v>184</v>
      </c>
      <c r="K352" s="5" t="s">
        <v>59</v>
      </c>
      <c r="L352" s="8">
        <v>267621</v>
      </c>
      <c r="M352" s="5" t="s">
        <v>99</v>
      </c>
      <c r="N352" s="5" t="s">
        <v>33</v>
      </c>
      <c r="O352" s="5" t="s">
        <v>41</v>
      </c>
      <c r="P352" s="5" t="str">
        <f>IF(hospital_patient_unclean_500__2[[#This Row],[Age]]&lt;18,"0-17",IF(hospital_patient_unclean_500__2[[#This Row],[Age]]&lt;36,"18-35",IF(hospital_patient_unclean_500__2[[#This Row],[Age]]&lt;51,"36-50",IF(hospital_patient_unclean_500__2[[#This Row],[Age]]&lt;66,"51-65","66+"))))</f>
        <v>18-35</v>
      </c>
    </row>
    <row r="353" spans="1:16" x14ac:dyDescent="0.3">
      <c r="A353" s="5" t="s">
        <v>648</v>
      </c>
      <c r="B353" s="5" t="s">
        <v>649</v>
      </c>
      <c r="C353" s="6">
        <v>61</v>
      </c>
      <c r="D353" s="5" t="s">
        <v>51</v>
      </c>
      <c r="E353" s="5" t="s">
        <v>84</v>
      </c>
      <c r="F353" s="5" t="s">
        <v>44</v>
      </c>
      <c r="G353" s="5" t="s">
        <v>153</v>
      </c>
      <c r="H353" s="7">
        <v>45821</v>
      </c>
      <c r="I353" s="7">
        <v>45821</v>
      </c>
      <c r="J353" s="5" t="s">
        <v>232</v>
      </c>
      <c r="K353" s="5" t="s">
        <v>160</v>
      </c>
      <c r="L353" s="8">
        <v>234451</v>
      </c>
      <c r="M353" s="5" t="s">
        <v>72</v>
      </c>
      <c r="N353" s="5" t="s">
        <v>61</v>
      </c>
      <c r="O353" s="5" t="s">
        <v>820</v>
      </c>
      <c r="P353" s="5" t="str">
        <f>IF(hospital_patient_unclean_500__2[[#This Row],[Age]]&lt;18,"0-17",IF(hospital_patient_unclean_500__2[[#This Row],[Age]]&lt;36,"18-35",IF(hospital_patient_unclean_500__2[[#This Row],[Age]]&lt;51,"36-50",IF(hospital_patient_unclean_500__2[[#This Row],[Age]]&lt;66,"51-65","66+"))))</f>
        <v>51-65</v>
      </c>
    </row>
    <row r="354" spans="1:16" x14ac:dyDescent="0.3">
      <c r="A354" s="5" t="s">
        <v>650</v>
      </c>
      <c r="B354" s="5" t="s">
        <v>228</v>
      </c>
      <c r="C354" s="6">
        <v>20</v>
      </c>
      <c r="D354" s="5" t="s">
        <v>96</v>
      </c>
      <c r="E354" s="5" t="s">
        <v>124</v>
      </c>
      <c r="F354" s="5" t="s">
        <v>28</v>
      </c>
      <c r="G354" s="5" t="s">
        <v>101</v>
      </c>
      <c r="H354" s="7">
        <v>45765</v>
      </c>
      <c r="I354" s="7">
        <v>45765</v>
      </c>
      <c r="J354" s="5" t="s">
        <v>102</v>
      </c>
      <c r="K354" s="5" t="s">
        <v>103</v>
      </c>
      <c r="L354" s="8">
        <v>65515.33</v>
      </c>
      <c r="M354" s="5" t="s">
        <v>47</v>
      </c>
      <c r="N354" s="5" t="s">
        <v>65</v>
      </c>
      <c r="O354" s="5" t="s">
        <v>819</v>
      </c>
      <c r="P354" s="5" t="str">
        <f>IF(hospital_patient_unclean_500__2[[#This Row],[Age]]&lt;18,"0-17",IF(hospital_patient_unclean_500__2[[#This Row],[Age]]&lt;36,"18-35",IF(hospital_patient_unclean_500__2[[#This Row],[Age]]&lt;51,"36-50",IF(hospital_patient_unclean_500__2[[#This Row],[Age]]&lt;66,"51-65","66+"))))</f>
        <v>18-35</v>
      </c>
    </row>
    <row r="355" spans="1:16" x14ac:dyDescent="0.3">
      <c r="A355" s="5" t="s">
        <v>651</v>
      </c>
      <c r="B355" s="5" t="s">
        <v>436</v>
      </c>
      <c r="C355" s="6">
        <v>58</v>
      </c>
      <c r="D355" s="5" t="s">
        <v>17</v>
      </c>
      <c r="E355" s="5" t="s">
        <v>64</v>
      </c>
      <c r="F355" s="5" t="s">
        <v>87</v>
      </c>
      <c r="G355" s="5" t="s">
        <v>324</v>
      </c>
      <c r="H355" s="7">
        <v>45708</v>
      </c>
      <c r="I355" s="7">
        <v>45712</v>
      </c>
      <c r="J355" s="5" t="s">
        <v>89</v>
      </c>
      <c r="K355" s="5" t="s">
        <v>92</v>
      </c>
      <c r="L355" s="8">
        <v>11310.31</v>
      </c>
      <c r="M355" s="5" t="s">
        <v>40</v>
      </c>
      <c r="N355" s="5" t="s">
        <v>65</v>
      </c>
      <c r="O355" s="5" t="s">
        <v>820</v>
      </c>
      <c r="P355" s="5" t="str">
        <f>IF(hospital_patient_unclean_500__2[[#This Row],[Age]]&lt;18,"0-17",IF(hospital_patient_unclean_500__2[[#This Row],[Age]]&lt;36,"18-35",IF(hospital_patient_unclean_500__2[[#This Row],[Age]]&lt;51,"36-50",IF(hospital_patient_unclean_500__2[[#This Row],[Age]]&lt;66,"51-65","66+"))))</f>
        <v>51-65</v>
      </c>
    </row>
    <row r="356" spans="1:16" x14ac:dyDescent="0.3">
      <c r="A356" s="5" t="s">
        <v>652</v>
      </c>
      <c r="B356" s="5" t="s">
        <v>425</v>
      </c>
      <c r="C356" s="6">
        <v>9</v>
      </c>
      <c r="D356" s="5" t="s">
        <v>51</v>
      </c>
      <c r="E356" s="5" t="s">
        <v>177</v>
      </c>
      <c r="F356" s="5" t="s">
        <v>38</v>
      </c>
      <c r="G356" s="5" t="s">
        <v>79</v>
      </c>
      <c r="H356" s="7">
        <v>45810</v>
      </c>
      <c r="I356" s="7">
        <v>45810</v>
      </c>
      <c r="J356" s="5" t="s">
        <v>97</v>
      </c>
      <c r="K356" s="5" t="s">
        <v>98</v>
      </c>
      <c r="L356" s="8">
        <v>187210.96</v>
      </c>
      <c r="M356" s="5" t="s">
        <v>60</v>
      </c>
      <c r="N356" s="5" t="s">
        <v>61</v>
      </c>
      <c r="O356" s="5" t="s">
        <v>34</v>
      </c>
      <c r="P356" s="5" t="str">
        <f>IF(hospital_patient_unclean_500__2[[#This Row],[Age]]&lt;18,"0-17",IF(hospital_patient_unclean_500__2[[#This Row],[Age]]&lt;36,"18-35",IF(hospital_patient_unclean_500__2[[#This Row],[Age]]&lt;51,"36-50",IF(hospital_patient_unclean_500__2[[#This Row],[Age]]&lt;66,"51-65","66+"))))</f>
        <v>0-17</v>
      </c>
    </row>
    <row r="357" spans="1:16" x14ac:dyDescent="0.3">
      <c r="A357" s="5" t="s">
        <v>653</v>
      </c>
      <c r="B357" s="5" t="s">
        <v>243</v>
      </c>
      <c r="C357" s="6">
        <v>75</v>
      </c>
      <c r="D357" s="5" t="s">
        <v>51</v>
      </c>
      <c r="E357" s="5" t="s">
        <v>37</v>
      </c>
      <c r="F357" s="5" t="s">
        <v>38</v>
      </c>
      <c r="G357" s="5" t="s">
        <v>79</v>
      </c>
      <c r="H357" s="7">
        <v>45912</v>
      </c>
      <c r="I357" s="7">
        <v>45913</v>
      </c>
      <c r="J357" s="5" t="s">
        <v>97</v>
      </c>
      <c r="K357" s="5" t="s">
        <v>98</v>
      </c>
      <c r="L357" s="8">
        <v>70627.63</v>
      </c>
      <c r="M357" s="5" t="s">
        <v>23</v>
      </c>
      <c r="N357" s="5" t="s">
        <v>61</v>
      </c>
      <c r="O357" s="5" t="s">
        <v>93</v>
      </c>
      <c r="P357" s="5" t="str">
        <f>IF(hospital_patient_unclean_500__2[[#This Row],[Age]]&lt;18,"0-17",IF(hospital_patient_unclean_500__2[[#This Row],[Age]]&lt;36,"18-35",IF(hospital_patient_unclean_500__2[[#This Row],[Age]]&lt;51,"36-50",IF(hospital_patient_unclean_500__2[[#This Row],[Age]]&lt;66,"51-65","66+"))))</f>
        <v>66+</v>
      </c>
    </row>
    <row r="358" spans="1:16" x14ac:dyDescent="0.3">
      <c r="A358" s="5" t="s">
        <v>654</v>
      </c>
      <c r="B358" s="5" t="s">
        <v>211</v>
      </c>
      <c r="C358" s="6">
        <v>79</v>
      </c>
      <c r="D358" s="5" t="s">
        <v>51</v>
      </c>
      <c r="E358" s="5" t="s">
        <v>84</v>
      </c>
      <c r="F358" s="5" t="s">
        <v>87</v>
      </c>
      <c r="G358" s="5" t="s">
        <v>112</v>
      </c>
      <c r="H358" s="7">
        <v>45887</v>
      </c>
      <c r="I358" s="7">
        <v>45895</v>
      </c>
      <c r="J358" s="5" t="s">
        <v>216</v>
      </c>
      <c r="K358" s="5" t="s">
        <v>839</v>
      </c>
      <c r="L358" s="8">
        <v>219686.66</v>
      </c>
      <c r="M358" s="5" t="s">
        <v>60</v>
      </c>
      <c r="N358" s="5" t="s">
        <v>33</v>
      </c>
      <c r="O358" s="5" t="s">
        <v>93</v>
      </c>
      <c r="P358" s="5" t="str">
        <f>IF(hospital_patient_unclean_500__2[[#This Row],[Age]]&lt;18,"0-17",IF(hospital_patient_unclean_500__2[[#This Row],[Age]]&lt;36,"18-35",IF(hospital_patient_unclean_500__2[[#This Row],[Age]]&lt;51,"36-50",IF(hospital_patient_unclean_500__2[[#This Row],[Age]]&lt;66,"51-65","66+"))))</f>
        <v>66+</v>
      </c>
    </row>
    <row r="359" spans="1:16" x14ac:dyDescent="0.3">
      <c r="A359" s="5" t="s">
        <v>655</v>
      </c>
      <c r="B359" s="5" t="s">
        <v>131</v>
      </c>
      <c r="C359" s="6">
        <v>72</v>
      </c>
      <c r="D359" s="5" t="s">
        <v>51</v>
      </c>
      <c r="E359" s="5" t="s">
        <v>43</v>
      </c>
      <c r="F359" s="5" t="s">
        <v>132</v>
      </c>
      <c r="G359" s="5" t="s">
        <v>133</v>
      </c>
      <c r="H359" s="7">
        <v>45895</v>
      </c>
      <c r="I359" s="7">
        <v>45898</v>
      </c>
      <c r="J359" s="5" t="s">
        <v>139</v>
      </c>
      <c r="K359" s="5" t="s">
        <v>140</v>
      </c>
      <c r="L359" s="8">
        <v>0</v>
      </c>
      <c r="M359" s="5" t="s">
        <v>99</v>
      </c>
      <c r="N359" s="5" t="s">
        <v>65</v>
      </c>
      <c r="O359" s="5" t="s">
        <v>41</v>
      </c>
      <c r="P359" s="5" t="str">
        <f>IF(hospital_patient_unclean_500__2[[#This Row],[Age]]&lt;18,"0-17",IF(hospital_patient_unclean_500__2[[#This Row],[Age]]&lt;36,"18-35",IF(hospital_patient_unclean_500__2[[#This Row],[Age]]&lt;51,"36-50",IF(hospital_patient_unclean_500__2[[#This Row],[Age]]&lt;66,"51-65","66+"))))</f>
        <v>66+</v>
      </c>
    </row>
    <row r="360" spans="1:16" x14ac:dyDescent="0.3">
      <c r="A360" s="5" t="s">
        <v>656</v>
      </c>
      <c r="B360" s="5" t="s">
        <v>446</v>
      </c>
      <c r="C360" s="6">
        <v>44</v>
      </c>
      <c r="D360" s="5" t="s">
        <v>96</v>
      </c>
      <c r="E360" s="5" t="s">
        <v>819</v>
      </c>
      <c r="F360" s="5" t="s">
        <v>44</v>
      </c>
      <c r="G360" s="5" t="s">
        <v>221</v>
      </c>
      <c r="H360" s="7">
        <v>45893</v>
      </c>
      <c r="I360" s="7">
        <v>45900</v>
      </c>
      <c r="J360" s="5" t="s">
        <v>819</v>
      </c>
      <c r="K360" s="5" t="s">
        <v>819</v>
      </c>
      <c r="L360" s="8">
        <v>213585.33</v>
      </c>
      <c r="M360" s="5" t="s">
        <v>60</v>
      </c>
      <c r="N360" s="5" t="s">
        <v>33</v>
      </c>
      <c r="O360" s="5" t="s">
        <v>820</v>
      </c>
      <c r="P360" s="5" t="str">
        <f>IF(hospital_patient_unclean_500__2[[#This Row],[Age]]&lt;18,"0-17",IF(hospital_patient_unclean_500__2[[#This Row],[Age]]&lt;36,"18-35",IF(hospital_patient_unclean_500__2[[#This Row],[Age]]&lt;51,"36-50",IF(hospital_patient_unclean_500__2[[#This Row],[Age]]&lt;66,"51-65","66+"))))</f>
        <v>36-50</v>
      </c>
    </row>
    <row r="361" spans="1:16" x14ac:dyDescent="0.3">
      <c r="A361" s="5" t="s">
        <v>657</v>
      </c>
      <c r="B361" s="5" t="s">
        <v>448</v>
      </c>
      <c r="C361" s="6">
        <v>39</v>
      </c>
      <c r="D361" s="5" t="s">
        <v>17</v>
      </c>
      <c r="E361" s="5" t="s">
        <v>37</v>
      </c>
      <c r="F361" s="5" t="s">
        <v>28</v>
      </c>
      <c r="G361" s="5" t="s">
        <v>29</v>
      </c>
      <c r="H361" s="7">
        <v>45836</v>
      </c>
      <c r="I361" s="7">
        <v>45850</v>
      </c>
      <c r="J361" s="5" t="s">
        <v>189</v>
      </c>
      <c r="K361" s="5" t="s">
        <v>835</v>
      </c>
      <c r="L361" s="8">
        <v>239670.57</v>
      </c>
      <c r="M361" s="5" t="s">
        <v>47</v>
      </c>
      <c r="N361" s="5" t="s">
        <v>65</v>
      </c>
      <c r="O361" s="5" t="s">
        <v>93</v>
      </c>
      <c r="P361" s="5" t="str">
        <f>IF(hospital_patient_unclean_500__2[[#This Row],[Age]]&lt;18,"0-17",IF(hospital_patient_unclean_500__2[[#This Row],[Age]]&lt;36,"18-35",IF(hospital_patient_unclean_500__2[[#This Row],[Age]]&lt;51,"36-50",IF(hospital_patient_unclean_500__2[[#This Row],[Age]]&lt;66,"51-65","66+"))))</f>
        <v>36-50</v>
      </c>
    </row>
    <row r="362" spans="1:16" x14ac:dyDescent="0.3">
      <c r="A362" s="5" t="s">
        <v>658</v>
      </c>
      <c r="B362" s="5" t="s">
        <v>659</v>
      </c>
      <c r="C362" s="6">
        <v>45</v>
      </c>
      <c r="D362" s="5" t="s">
        <v>17</v>
      </c>
      <c r="E362" s="5" t="s">
        <v>111</v>
      </c>
      <c r="F362" s="5" t="s">
        <v>28</v>
      </c>
      <c r="G362" s="5" t="s">
        <v>195</v>
      </c>
      <c r="H362" s="7">
        <v>45835</v>
      </c>
      <c r="I362" s="7">
        <v>45835</v>
      </c>
      <c r="J362" s="5" t="s">
        <v>75</v>
      </c>
      <c r="K362" s="5" t="s">
        <v>76</v>
      </c>
      <c r="L362" s="8">
        <v>328188.99</v>
      </c>
      <c r="M362" s="5" t="s">
        <v>23</v>
      </c>
      <c r="N362" s="5" t="s">
        <v>33</v>
      </c>
      <c r="O362" s="5" t="s">
        <v>41</v>
      </c>
      <c r="P362" s="5" t="str">
        <f>IF(hospital_patient_unclean_500__2[[#This Row],[Age]]&lt;18,"0-17",IF(hospital_patient_unclean_500__2[[#This Row],[Age]]&lt;36,"18-35",IF(hospital_patient_unclean_500__2[[#This Row],[Age]]&lt;51,"36-50",IF(hospital_patient_unclean_500__2[[#This Row],[Age]]&lt;66,"51-65","66+"))))</f>
        <v>36-50</v>
      </c>
    </row>
    <row r="363" spans="1:16" x14ac:dyDescent="0.3">
      <c r="A363" s="5" t="s">
        <v>660</v>
      </c>
      <c r="B363" s="5" t="s">
        <v>538</v>
      </c>
      <c r="C363" s="6">
        <v>2</v>
      </c>
      <c r="D363" s="5" t="s">
        <v>17</v>
      </c>
      <c r="E363" s="5" t="s">
        <v>64</v>
      </c>
      <c r="F363" s="5" t="s">
        <v>87</v>
      </c>
      <c r="G363" s="5" t="s">
        <v>112</v>
      </c>
      <c r="H363" s="7">
        <v>45806</v>
      </c>
      <c r="I363" s="7">
        <v>45828</v>
      </c>
      <c r="J363" s="5" t="s">
        <v>89</v>
      </c>
      <c r="K363" s="5" t="s">
        <v>92</v>
      </c>
      <c r="L363" s="8">
        <v>176910.39</v>
      </c>
      <c r="M363" s="5" t="s">
        <v>23</v>
      </c>
      <c r="N363" s="5" t="s">
        <v>24</v>
      </c>
      <c r="O363" s="5" t="s">
        <v>41</v>
      </c>
      <c r="P363" s="5" t="str">
        <f>IF(hospital_patient_unclean_500__2[[#This Row],[Age]]&lt;18,"0-17",IF(hospital_patient_unclean_500__2[[#This Row],[Age]]&lt;36,"18-35",IF(hospital_patient_unclean_500__2[[#This Row],[Age]]&lt;51,"36-50",IF(hospital_patient_unclean_500__2[[#This Row],[Age]]&lt;66,"51-65","66+"))))</f>
        <v>0-17</v>
      </c>
    </row>
    <row r="364" spans="1:16" x14ac:dyDescent="0.3">
      <c r="A364" s="5" t="s">
        <v>661</v>
      </c>
      <c r="B364" s="5" t="s">
        <v>362</v>
      </c>
      <c r="C364" s="6">
        <v>10</v>
      </c>
      <c r="D364" s="5" t="s">
        <v>17</v>
      </c>
      <c r="E364" s="5" t="s">
        <v>43</v>
      </c>
      <c r="F364" s="5" t="s">
        <v>44</v>
      </c>
      <c r="G364" s="5" t="s">
        <v>45</v>
      </c>
      <c r="H364" s="7">
        <v>45831</v>
      </c>
      <c r="I364" s="7">
        <v>45831</v>
      </c>
      <c r="J364" s="5" t="s">
        <v>830</v>
      </c>
      <c r="K364" s="5" t="s">
        <v>46</v>
      </c>
      <c r="L364" s="8">
        <v>142933.82</v>
      </c>
      <c r="M364" s="5" t="s">
        <v>47</v>
      </c>
      <c r="N364" s="5" t="s">
        <v>48</v>
      </c>
      <c r="O364" s="5" t="s">
        <v>41</v>
      </c>
      <c r="P364" s="5" t="str">
        <f>IF(hospital_patient_unclean_500__2[[#This Row],[Age]]&lt;18,"0-17",IF(hospital_patient_unclean_500__2[[#This Row],[Age]]&lt;36,"18-35",IF(hospital_patient_unclean_500__2[[#This Row],[Age]]&lt;51,"36-50",IF(hospital_patient_unclean_500__2[[#This Row],[Age]]&lt;66,"51-65","66+"))))</f>
        <v>0-17</v>
      </c>
    </row>
    <row r="365" spans="1:16" x14ac:dyDescent="0.3">
      <c r="A365" s="5" t="s">
        <v>662</v>
      </c>
      <c r="B365" s="5" t="s">
        <v>211</v>
      </c>
      <c r="C365" s="6">
        <v>81</v>
      </c>
      <c r="D365" s="5" t="s">
        <v>51</v>
      </c>
      <c r="E365" s="5" t="s">
        <v>124</v>
      </c>
      <c r="F365" s="5" t="s">
        <v>53</v>
      </c>
      <c r="G365" s="5" t="s">
        <v>69</v>
      </c>
      <c r="H365" s="7">
        <v>45817</v>
      </c>
      <c r="I365" s="7">
        <v>45820</v>
      </c>
      <c r="J365" s="5" t="s">
        <v>200</v>
      </c>
      <c r="K365" s="5" t="s">
        <v>201</v>
      </c>
      <c r="L365" s="8">
        <v>0</v>
      </c>
      <c r="M365" s="5" t="s">
        <v>32</v>
      </c>
      <c r="N365" s="5" t="s">
        <v>24</v>
      </c>
      <c r="O365" s="5" t="s">
        <v>820</v>
      </c>
      <c r="P365" s="5" t="str">
        <f>IF(hospital_patient_unclean_500__2[[#This Row],[Age]]&lt;18,"0-17",IF(hospital_patient_unclean_500__2[[#This Row],[Age]]&lt;36,"18-35",IF(hospital_patient_unclean_500__2[[#This Row],[Age]]&lt;51,"36-50",IF(hospital_patient_unclean_500__2[[#This Row],[Age]]&lt;66,"51-65","66+"))))</f>
        <v>66+</v>
      </c>
    </row>
    <row r="366" spans="1:16" x14ac:dyDescent="0.3">
      <c r="A366" s="5" t="s">
        <v>663</v>
      </c>
      <c r="B366" s="5" t="s">
        <v>664</v>
      </c>
      <c r="C366" s="6">
        <v>80</v>
      </c>
      <c r="D366" s="5" t="s">
        <v>17</v>
      </c>
      <c r="E366" s="5" t="s">
        <v>124</v>
      </c>
      <c r="F366" s="5" t="s">
        <v>44</v>
      </c>
      <c r="G366" s="5" t="s">
        <v>45</v>
      </c>
      <c r="H366" s="7">
        <v>45954</v>
      </c>
      <c r="I366" s="7">
        <v>45956</v>
      </c>
      <c r="J366" s="5" t="s">
        <v>232</v>
      </c>
      <c r="K366" s="5" t="s">
        <v>160</v>
      </c>
      <c r="L366" s="8">
        <v>149246.6</v>
      </c>
      <c r="M366" s="5" t="s">
        <v>99</v>
      </c>
      <c r="N366" s="5" t="s">
        <v>24</v>
      </c>
      <c r="O366" s="5" t="s">
        <v>93</v>
      </c>
      <c r="P366" s="5" t="str">
        <f>IF(hospital_patient_unclean_500__2[[#This Row],[Age]]&lt;18,"0-17",IF(hospital_patient_unclean_500__2[[#This Row],[Age]]&lt;36,"18-35",IF(hospital_patient_unclean_500__2[[#This Row],[Age]]&lt;51,"36-50",IF(hospital_patient_unclean_500__2[[#This Row],[Age]]&lt;66,"51-65","66+"))))</f>
        <v>66+</v>
      </c>
    </row>
    <row r="367" spans="1:16" x14ac:dyDescent="0.3">
      <c r="A367" s="5" t="s">
        <v>665</v>
      </c>
      <c r="B367" s="5" t="s">
        <v>106</v>
      </c>
      <c r="C367" s="6">
        <v>61</v>
      </c>
      <c r="D367" s="5" t="s">
        <v>51</v>
      </c>
      <c r="E367" s="5" t="s">
        <v>52</v>
      </c>
      <c r="F367" s="5" t="s">
        <v>19</v>
      </c>
      <c r="G367" s="5" t="s">
        <v>105</v>
      </c>
      <c r="H367" s="7">
        <v>45824</v>
      </c>
      <c r="I367" s="7">
        <v>45839</v>
      </c>
      <c r="J367" s="5" t="s">
        <v>819</v>
      </c>
      <c r="K367" s="5" t="s">
        <v>181</v>
      </c>
      <c r="L367" s="8">
        <v>166270.85999999999</v>
      </c>
      <c r="M367" s="5" t="s">
        <v>72</v>
      </c>
      <c r="N367" s="5" t="s">
        <v>33</v>
      </c>
      <c r="O367" s="5" t="s">
        <v>93</v>
      </c>
      <c r="P367" s="5" t="str">
        <f>IF(hospital_patient_unclean_500__2[[#This Row],[Age]]&lt;18,"0-17",IF(hospital_patient_unclean_500__2[[#This Row],[Age]]&lt;36,"18-35",IF(hospital_patient_unclean_500__2[[#This Row],[Age]]&lt;51,"36-50",IF(hospital_patient_unclean_500__2[[#This Row],[Age]]&lt;66,"51-65","66+"))))</f>
        <v>51-65</v>
      </c>
    </row>
    <row r="368" spans="1:16" x14ac:dyDescent="0.3">
      <c r="A368" s="5" t="s">
        <v>666</v>
      </c>
      <c r="B368" s="5" t="s">
        <v>432</v>
      </c>
      <c r="C368" s="6">
        <v>6</v>
      </c>
      <c r="D368" s="5" t="s">
        <v>17</v>
      </c>
      <c r="E368" s="5" t="s">
        <v>68</v>
      </c>
      <c r="F368" s="5" t="s">
        <v>19</v>
      </c>
      <c r="G368" s="5" t="s">
        <v>20</v>
      </c>
      <c r="H368" s="7">
        <v>45891</v>
      </c>
      <c r="I368" s="7">
        <v>45894</v>
      </c>
      <c r="J368" s="5" t="s">
        <v>120</v>
      </c>
      <c r="K368" s="5" t="s">
        <v>121</v>
      </c>
      <c r="L368" s="8">
        <v>255209.04</v>
      </c>
      <c r="M368" s="5" t="s">
        <v>47</v>
      </c>
      <c r="N368" s="5" t="s">
        <v>65</v>
      </c>
      <c r="O368" s="5" t="s">
        <v>25</v>
      </c>
      <c r="P368" s="5" t="str">
        <f>IF(hospital_patient_unclean_500__2[[#This Row],[Age]]&lt;18,"0-17",IF(hospital_patient_unclean_500__2[[#This Row],[Age]]&lt;36,"18-35",IF(hospital_patient_unclean_500__2[[#This Row],[Age]]&lt;51,"36-50",IF(hospital_patient_unclean_500__2[[#This Row],[Age]]&lt;66,"51-65","66+"))))</f>
        <v>0-17</v>
      </c>
    </row>
    <row r="369" spans="1:16" x14ac:dyDescent="0.3">
      <c r="A369" s="5" t="s">
        <v>667</v>
      </c>
      <c r="B369" s="5" t="s">
        <v>668</v>
      </c>
      <c r="C369" s="6">
        <v>15</v>
      </c>
      <c r="D369" s="5" t="s">
        <v>51</v>
      </c>
      <c r="E369" s="5" t="s">
        <v>86</v>
      </c>
      <c r="F369" s="5" t="s">
        <v>87</v>
      </c>
      <c r="G369" s="5" t="s">
        <v>324</v>
      </c>
      <c r="H369" s="7">
        <v>45867</v>
      </c>
      <c r="I369" s="7">
        <v>45867</v>
      </c>
      <c r="J369" s="5" t="s">
        <v>89</v>
      </c>
      <c r="K369" s="5" t="s">
        <v>92</v>
      </c>
      <c r="L369" s="8">
        <v>176620.05</v>
      </c>
      <c r="M369" s="5" t="s">
        <v>40</v>
      </c>
      <c r="N369" s="5" t="s">
        <v>65</v>
      </c>
      <c r="O369" s="5" t="s">
        <v>34</v>
      </c>
      <c r="P369" s="5" t="str">
        <f>IF(hospital_patient_unclean_500__2[[#This Row],[Age]]&lt;18,"0-17",IF(hospital_patient_unclean_500__2[[#This Row],[Age]]&lt;36,"18-35",IF(hospital_patient_unclean_500__2[[#This Row],[Age]]&lt;51,"36-50",IF(hospital_patient_unclean_500__2[[#This Row],[Age]]&lt;66,"51-65","66+"))))</f>
        <v>0-17</v>
      </c>
    </row>
    <row r="370" spans="1:16" x14ac:dyDescent="0.3">
      <c r="A370" s="5" t="s">
        <v>669</v>
      </c>
      <c r="B370" s="5" t="s">
        <v>95</v>
      </c>
      <c r="C370" s="6">
        <v>51</v>
      </c>
      <c r="D370" s="5" t="s">
        <v>17</v>
      </c>
      <c r="E370" s="5" t="s">
        <v>68</v>
      </c>
      <c r="F370" s="5" t="s">
        <v>44</v>
      </c>
      <c r="G370" s="5" t="s">
        <v>221</v>
      </c>
      <c r="H370" s="7">
        <v>45842</v>
      </c>
      <c r="I370" s="7">
        <v>45842</v>
      </c>
      <c r="J370" s="5" t="s">
        <v>830</v>
      </c>
      <c r="K370" s="5" t="s">
        <v>46</v>
      </c>
      <c r="L370" s="8">
        <v>100750.51</v>
      </c>
      <c r="M370" s="5" t="s">
        <v>47</v>
      </c>
      <c r="N370" s="5" t="s">
        <v>24</v>
      </c>
      <c r="O370" s="5" t="s">
        <v>41</v>
      </c>
      <c r="P370" s="5" t="str">
        <f>IF(hospital_patient_unclean_500__2[[#This Row],[Age]]&lt;18,"0-17",IF(hospital_patient_unclean_500__2[[#This Row],[Age]]&lt;36,"18-35",IF(hospital_patient_unclean_500__2[[#This Row],[Age]]&lt;51,"36-50",IF(hospital_patient_unclean_500__2[[#This Row],[Age]]&lt;66,"51-65","66+"))))</f>
        <v>51-65</v>
      </c>
    </row>
    <row r="371" spans="1:16" x14ac:dyDescent="0.3">
      <c r="A371" s="5" t="s">
        <v>670</v>
      </c>
      <c r="B371" s="5" t="s">
        <v>273</v>
      </c>
      <c r="C371" s="6">
        <v>3</v>
      </c>
      <c r="D371" s="5" t="s">
        <v>17</v>
      </c>
      <c r="E371" s="5" t="s">
        <v>64</v>
      </c>
      <c r="F371" s="5" t="s">
        <v>53</v>
      </c>
      <c r="G371" s="5" t="s">
        <v>69</v>
      </c>
      <c r="H371" s="7">
        <v>45920</v>
      </c>
      <c r="I371" s="7">
        <v>45926</v>
      </c>
      <c r="J371" s="5" t="s">
        <v>107</v>
      </c>
      <c r="K371" s="5" t="s">
        <v>108</v>
      </c>
      <c r="L371" s="8">
        <v>168972.32</v>
      </c>
      <c r="M371" s="5" t="s">
        <v>99</v>
      </c>
      <c r="N371" s="5" t="s">
        <v>33</v>
      </c>
      <c r="O371" s="5" t="s">
        <v>25</v>
      </c>
      <c r="P371" s="5" t="str">
        <f>IF(hospital_patient_unclean_500__2[[#This Row],[Age]]&lt;18,"0-17",IF(hospital_patient_unclean_500__2[[#This Row],[Age]]&lt;36,"18-35",IF(hospital_patient_unclean_500__2[[#This Row],[Age]]&lt;51,"36-50",IF(hospital_patient_unclean_500__2[[#This Row],[Age]]&lt;66,"51-65","66+"))))</f>
        <v>0-17</v>
      </c>
    </row>
    <row r="372" spans="1:16" x14ac:dyDescent="0.3">
      <c r="A372" s="5" t="s">
        <v>671</v>
      </c>
      <c r="B372" s="5" t="s">
        <v>164</v>
      </c>
      <c r="C372" s="6">
        <v>41</v>
      </c>
      <c r="D372" s="5" t="s">
        <v>51</v>
      </c>
      <c r="E372" s="5" t="s">
        <v>64</v>
      </c>
      <c r="F372" s="5" t="s">
        <v>19</v>
      </c>
      <c r="G372" s="5" t="s">
        <v>105</v>
      </c>
      <c r="H372" s="7">
        <v>45681</v>
      </c>
      <c r="I372" s="7">
        <v>45692</v>
      </c>
      <c r="J372" s="5" t="s">
        <v>267</v>
      </c>
      <c r="K372" s="5" t="s">
        <v>268</v>
      </c>
      <c r="L372" s="8">
        <v>153334.01999999999</v>
      </c>
      <c r="M372" s="5" t="s">
        <v>60</v>
      </c>
      <c r="N372" s="5" t="s">
        <v>33</v>
      </c>
      <c r="O372" s="5" t="s">
        <v>820</v>
      </c>
      <c r="P372" s="5" t="str">
        <f>IF(hospital_patient_unclean_500__2[[#This Row],[Age]]&lt;18,"0-17",IF(hospital_patient_unclean_500__2[[#This Row],[Age]]&lt;36,"18-35",IF(hospital_patient_unclean_500__2[[#This Row],[Age]]&lt;51,"36-50",IF(hospital_patient_unclean_500__2[[#This Row],[Age]]&lt;66,"51-65","66+"))))</f>
        <v>36-50</v>
      </c>
    </row>
    <row r="373" spans="1:16" x14ac:dyDescent="0.3">
      <c r="A373" s="5" t="s">
        <v>672</v>
      </c>
      <c r="B373" s="5" t="s">
        <v>602</v>
      </c>
      <c r="C373" s="6">
        <v>74</v>
      </c>
      <c r="D373" s="5" t="s">
        <v>51</v>
      </c>
      <c r="E373" s="5" t="s">
        <v>18</v>
      </c>
      <c r="F373" s="5" t="s">
        <v>132</v>
      </c>
      <c r="G373" s="5" t="s">
        <v>223</v>
      </c>
      <c r="H373" s="7">
        <v>45702</v>
      </c>
      <c r="I373" s="7">
        <v>45704</v>
      </c>
      <c r="J373" s="5" t="s">
        <v>134</v>
      </c>
      <c r="K373" s="5" t="s">
        <v>135</v>
      </c>
      <c r="L373" s="8">
        <v>0</v>
      </c>
      <c r="M373" s="5" t="s">
        <v>819</v>
      </c>
      <c r="N373" s="5" t="s">
        <v>48</v>
      </c>
      <c r="O373" s="5" t="s">
        <v>34</v>
      </c>
      <c r="P373" s="5" t="str">
        <f>IF(hospital_patient_unclean_500__2[[#This Row],[Age]]&lt;18,"0-17",IF(hospital_patient_unclean_500__2[[#This Row],[Age]]&lt;36,"18-35",IF(hospital_patient_unclean_500__2[[#This Row],[Age]]&lt;51,"36-50",IF(hospital_patient_unclean_500__2[[#This Row],[Age]]&lt;66,"51-65","66+"))))</f>
        <v>66+</v>
      </c>
    </row>
    <row r="374" spans="1:16" x14ac:dyDescent="0.3">
      <c r="A374" s="5" t="s">
        <v>673</v>
      </c>
      <c r="B374" s="5" t="s">
        <v>627</v>
      </c>
      <c r="C374" s="6">
        <v>8</v>
      </c>
      <c r="D374" s="5" t="s">
        <v>51</v>
      </c>
      <c r="E374" s="5" t="s">
        <v>43</v>
      </c>
      <c r="F374" s="5" t="s">
        <v>38</v>
      </c>
      <c r="G374" s="5" t="s">
        <v>167</v>
      </c>
      <c r="H374" s="7">
        <v>45822</v>
      </c>
      <c r="I374" s="7">
        <v>45828</v>
      </c>
      <c r="J374" s="5" t="s">
        <v>97</v>
      </c>
      <c r="K374" s="5" t="s">
        <v>98</v>
      </c>
      <c r="L374" s="8">
        <v>273053.57</v>
      </c>
      <c r="M374" s="5" t="s">
        <v>60</v>
      </c>
      <c r="N374" s="5" t="s">
        <v>61</v>
      </c>
      <c r="O374" s="5" t="s">
        <v>25</v>
      </c>
      <c r="P374" s="5" t="str">
        <f>IF(hospital_patient_unclean_500__2[[#This Row],[Age]]&lt;18,"0-17",IF(hospital_patient_unclean_500__2[[#This Row],[Age]]&lt;36,"18-35",IF(hospital_patient_unclean_500__2[[#This Row],[Age]]&lt;51,"36-50",IF(hospital_patient_unclean_500__2[[#This Row],[Age]]&lt;66,"51-65","66+"))))</f>
        <v>0-17</v>
      </c>
    </row>
    <row r="375" spans="1:16" x14ac:dyDescent="0.3">
      <c r="A375" s="5" t="s">
        <v>674</v>
      </c>
      <c r="B375" s="5" t="s">
        <v>260</v>
      </c>
      <c r="C375" s="6">
        <v>68</v>
      </c>
      <c r="D375" s="5" t="s">
        <v>17</v>
      </c>
      <c r="E375" s="5" t="s">
        <v>819</v>
      </c>
      <c r="F375" s="5" t="s">
        <v>44</v>
      </c>
      <c r="G375" s="5" t="s">
        <v>153</v>
      </c>
      <c r="H375" s="7">
        <v>45799</v>
      </c>
      <c r="I375" s="7">
        <v>45814</v>
      </c>
      <c r="J375" s="5" t="s">
        <v>232</v>
      </c>
      <c r="K375" s="5" t="s">
        <v>160</v>
      </c>
      <c r="L375" s="8">
        <v>42562.48</v>
      </c>
      <c r="M375" s="5" t="s">
        <v>99</v>
      </c>
      <c r="N375" s="5" t="s">
        <v>61</v>
      </c>
      <c r="O375" s="5" t="s">
        <v>93</v>
      </c>
      <c r="P375" s="5" t="str">
        <f>IF(hospital_patient_unclean_500__2[[#This Row],[Age]]&lt;18,"0-17",IF(hospital_patient_unclean_500__2[[#This Row],[Age]]&lt;36,"18-35",IF(hospital_patient_unclean_500__2[[#This Row],[Age]]&lt;51,"36-50",IF(hospital_patient_unclean_500__2[[#This Row],[Age]]&lt;66,"51-65","66+"))))</f>
        <v>66+</v>
      </c>
    </row>
    <row r="376" spans="1:16" x14ac:dyDescent="0.3">
      <c r="A376" s="5" t="s">
        <v>675</v>
      </c>
      <c r="B376" s="5" t="s">
        <v>326</v>
      </c>
      <c r="C376" s="6">
        <v>44</v>
      </c>
      <c r="D376" s="5" t="s">
        <v>17</v>
      </c>
      <c r="E376" s="5" t="s">
        <v>37</v>
      </c>
      <c r="F376" s="5" t="s">
        <v>87</v>
      </c>
      <c r="G376" s="5" t="s">
        <v>112</v>
      </c>
      <c r="H376" s="7">
        <v>45659</v>
      </c>
      <c r="I376" s="7">
        <v>45677</v>
      </c>
      <c r="J376" s="5" t="s">
        <v>89</v>
      </c>
      <c r="K376" s="5" t="s">
        <v>92</v>
      </c>
      <c r="L376" s="8">
        <v>273509.90999999997</v>
      </c>
      <c r="M376" s="5" t="s">
        <v>32</v>
      </c>
      <c r="N376" s="5" t="s">
        <v>48</v>
      </c>
      <c r="O376" s="5" t="s">
        <v>93</v>
      </c>
      <c r="P376" s="5" t="str">
        <f>IF(hospital_patient_unclean_500__2[[#This Row],[Age]]&lt;18,"0-17",IF(hospital_patient_unclean_500__2[[#This Row],[Age]]&lt;36,"18-35",IF(hospital_patient_unclean_500__2[[#This Row],[Age]]&lt;51,"36-50",IF(hospital_patient_unclean_500__2[[#This Row],[Age]]&lt;66,"51-65","66+"))))</f>
        <v>36-50</v>
      </c>
    </row>
    <row r="377" spans="1:16" x14ac:dyDescent="0.3">
      <c r="A377" s="5" t="s">
        <v>676</v>
      </c>
      <c r="B377" s="5" t="s">
        <v>194</v>
      </c>
      <c r="C377" s="6">
        <v>68</v>
      </c>
      <c r="D377" s="5" t="s">
        <v>51</v>
      </c>
      <c r="E377" s="5" t="s">
        <v>819</v>
      </c>
      <c r="F377" s="5" t="s">
        <v>819</v>
      </c>
      <c r="G377" s="5" t="s">
        <v>88</v>
      </c>
      <c r="H377" s="7">
        <v>45897</v>
      </c>
      <c r="I377" s="7">
        <v>45908</v>
      </c>
      <c r="J377" s="5" t="s">
        <v>171</v>
      </c>
      <c r="K377" s="5" t="s">
        <v>113</v>
      </c>
      <c r="L377" s="8">
        <v>202091.6</v>
      </c>
      <c r="M377" s="5" t="s">
        <v>47</v>
      </c>
      <c r="N377" s="5" t="s">
        <v>819</v>
      </c>
      <c r="O377" s="5" t="s">
        <v>820</v>
      </c>
      <c r="P377" s="5" t="str">
        <f>IF(hospital_patient_unclean_500__2[[#This Row],[Age]]&lt;18,"0-17",IF(hospital_patient_unclean_500__2[[#This Row],[Age]]&lt;36,"18-35",IF(hospital_patient_unclean_500__2[[#This Row],[Age]]&lt;51,"36-50",IF(hospital_patient_unclean_500__2[[#This Row],[Age]]&lt;66,"51-65","66+"))))</f>
        <v>66+</v>
      </c>
    </row>
    <row r="378" spans="1:16" x14ac:dyDescent="0.3">
      <c r="A378" s="5" t="s">
        <v>677</v>
      </c>
      <c r="B378" s="5" t="s">
        <v>434</v>
      </c>
      <c r="C378" s="6">
        <v>85</v>
      </c>
      <c r="D378" s="5" t="s">
        <v>17</v>
      </c>
      <c r="E378" s="5" t="s">
        <v>52</v>
      </c>
      <c r="F378" s="5" t="s">
        <v>87</v>
      </c>
      <c r="G378" s="5" t="s">
        <v>88</v>
      </c>
      <c r="H378" s="7">
        <v>45844</v>
      </c>
      <c r="I378" s="7">
        <v>45862</v>
      </c>
      <c r="J378" s="5" t="s">
        <v>89</v>
      </c>
      <c r="K378" s="5" t="s">
        <v>92</v>
      </c>
      <c r="L378" s="8">
        <v>15445.5</v>
      </c>
      <c r="M378" s="5" t="s">
        <v>32</v>
      </c>
      <c r="N378" s="5" t="s">
        <v>24</v>
      </c>
      <c r="O378" s="5" t="s">
        <v>41</v>
      </c>
      <c r="P378" s="5" t="str">
        <f>IF(hospital_patient_unclean_500__2[[#This Row],[Age]]&lt;18,"0-17",IF(hospital_patient_unclean_500__2[[#This Row],[Age]]&lt;36,"18-35",IF(hospital_patient_unclean_500__2[[#This Row],[Age]]&lt;51,"36-50",IF(hospital_patient_unclean_500__2[[#This Row],[Age]]&lt;66,"51-65","66+"))))</f>
        <v>66+</v>
      </c>
    </row>
    <row r="379" spans="1:16" x14ac:dyDescent="0.3">
      <c r="A379" s="5" t="s">
        <v>678</v>
      </c>
      <c r="B379" s="5" t="s">
        <v>679</v>
      </c>
      <c r="C379" s="6">
        <v>38</v>
      </c>
      <c r="D379" s="5" t="s">
        <v>51</v>
      </c>
      <c r="E379" s="5" t="s">
        <v>124</v>
      </c>
      <c r="F379" s="5" t="s">
        <v>44</v>
      </c>
      <c r="G379" s="5" t="s">
        <v>45</v>
      </c>
      <c r="H379" s="7">
        <v>45673</v>
      </c>
      <c r="I379" s="7">
        <v>45839</v>
      </c>
      <c r="J379" s="5" t="s">
        <v>830</v>
      </c>
      <c r="K379" s="5" t="s">
        <v>46</v>
      </c>
      <c r="L379" s="8">
        <v>229227.12</v>
      </c>
      <c r="M379" s="5" t="s">
        <v>72</v>
      </c>
      <c r="N379" s="5" t="s">
        <v>65</v>
      </c>
      <c r="O379" s="5" t="s">
        <v>41</v>
      </c>
      <c r="P379" s="5" t="str">
        <f>IF(hospital_patient_unclean_500__2[[#This Row],[Age]]&lt;18,"0-17",IF(hospital_patient_unclean_500__2[[#This Row],[Age]]&lt;36,"18-35",IF(hospital_patient_unclean_500__2[[#This Row],[Age]]&lt;51,"36-50",IF(hospital_patient_unclean_500__2[[#This Row],[Age]]&lt;66,"51-65","66+"))))</f>
        <v>36-50</v>
      </c>
    </row>
    <row r="380" spans="1:16" x14ac:dyDescent="0.3">
      <c r="A380" s="5" t="s">
        <v>680</v>
      </c>
      <c r="B380" s="5" t="s">
        <v>512</v>
      </c>
      <c r="C380" s="6">
        <v>59</v>
      </c>
      <c r="D380" s="5" t="s">
        <v>17</v>
      </c>
      <c r="E380" s="5" t="s">
        <v>124</v>
      </c>
      <c r="F380" s="5" t="s">
        <v>132</v>
      </c>
      <c r="G380" s="5" t="s">
        <v>223</v>
      </c>
      <c r="H380" s="7">
        <v>45803</v>
      </c>
      <c r="I380" s="7">
        <v>45816</v>
      </c>
      <c r="J380" s="5" t="s">
        <v>139</v>
      </c>
      <c r="K380" s="5" t="s">
        <v>140</v>
      </c>
      <c r="L380" s="8">
        <v>92715.25</v>
      </c>
      <c r="M380" s="5" t="s">
        <v>72</v>
      </c>
      <c r="N380" s="5" t="s">
        <v>24</v>
      </c>
      <c r="O380" s="5" t="s">
        <v>93</v>
      </c>
      <c r="P380" s="5" t="str">
        <f>IF(hospital_patient_unclean_500__2[[#This Row],[Age]]&lt;18,"0-17",IF(hospital_patient_unclean_500__2[[#This Row],[Age]]&lt;36,"18-35",IF(hospital_patient_unclean_500__2[[#This Row],[Age]]&lt;51,"36-50",IF(hospital_patient_unclean_500__2[[#This Row],[Age]]&lt;66,"51-65","66+"))))</f>
        <v>51-65</v>
      </c>
    </row>
    <row r="381" spans="1:16" x14ac:dyDescent="0.3">
      <c r="A381" s="5" t="s">
        <v>681</v>
      </c>
      <c r="B381" s="5" t="s">
        <v>505</v>
      </c>
      <c r="C381" s="6">
        <v>44</v>
      </c>
      <c r="D381" s="5" t="s">
        <v>17</v>
      </c>
      <c r="E381" s="5" t="s">
        <v>64</v>
      </c>
      <c r="F381" s="5" t="s">
        <v>819</v>
      </c>
      <c r="G381" s="5" t="s">
        <v>195</v>
      </c>
      <c r="H381" s="7">
        <v>45683</v>
      </c>
      <c r="I381" s="7">
        <v>45698</v>
      </c>
      <c r="J381" s="5" t="s">
        <v>30</v>
      </c>
      <c r="K381" s="5" t="s">
        <v>31</v>
      </c>
      <c r="L381" s="8">
        <v>39164.58</v>
      </c>
      <c r="M381" s="5" t="s">
        <v>23</v>
      </c>
      <c r="N381" s="5" t="s">
        <v>48</v>
      </c>
      <c r="O381" s="5" t="s">
        <v>93</v>
      </c>
      <c r="P381" s="5" t="str">
        <f>IF(hospital_patient_unclean_500__2[[#This Row],[Age]]&lt;18,"0-17",IF(hospital_patient_unclean_500__2[[#This Row],[Age]]&lt;36,"18-35",IF(hospital_patient_unclean_500__2[[#This Row],[Age]]&lt;51,"36-50",IF(hospital_patient_unclean_500__2[[#This Row],[Age]]&lt;66,"51-65","66+"))))</f>
        <v>36-50</v>
      </c>
    </row>
    <row r="382" spans="1:16" x14ac:dyDescent="0.3">
      <c r="A382" s="5" t="s">
        <v>682</v>
      </c>
      <c r="B382" s="5" t="s">
        <v>453</v>
      </c>
      <c r="C382" s="6">
        <v>72</v>
      </c>
      <c r="D382" s="5" t="s">
        <v>51</v>
      </c>
      <c r="E382" s="5" t="s">
        <v>37</v>
      </c>
      <c r="F382" s="5" t="s">
        <v>87</v>
      </c>
      <c r="G382" s="5" t="s">
        <v>324</v>
      </c>
      <c r="H382" s="7">
        <v>45818</v>
      </c>
      <c r="I382" s="7">
        <v>45832</v>
      </c>
      <c r="J382" s="5" t="s">
        <v>192</v>
      </c>
      <c r="K382" s="5" t="s">
        <v>193</v>
      </c>
      <c r="L382" s="8">
        <v>256933.8</v>
      </c>
      <c r="M382" s="5" t="s">
        <v>23</v>
      </c>
      <c r="N382" s="5" t="s">
        <v>48</v>
      </c>
      <c r="O382" s="5" t="s">
        <v>34</v>
      </c>
      <c r="P382" s="5" t="str">
        <f>IF(hospital_patient_unclean_500__2[[#This Row],[Age]]&lt;18,"0-17",IF(hospital_patient_unclean_500__2[[#This Row],[Age]]&lt;36,"18-35",IF(hospital_patient_unclean_500__2[[#This Row],[Age]]&lt;51,"36-50",IF(hospital_patient_unclean_500__2[[#This Row],[Age]]&lt;66,"51-65","66+"))))</f>
        <v>66+</v>
      </c>
    </row>
    <row r="383" spans="1:16" x14ac:dyDescent="0.3">
      <c r="A383" s="5" t="s">
        <v>683</v>
      </c>
      <c r="B383" s="5" t="s">
        <v>444</v>
      </c>
      <c r="C383" s="6">
        <v>44</v>
      </c>
      <c r="D383" s="5" t="s">
        <v>51</v>
      </c>
      <c r="E383" s="5" t="s">
        <v>86</v>
      </c>
      <c r="F383" s="5" t="s">
        <v>132</v>
      </c>
      <c r="G383" s="5" t="s">
        <v>138</v>
      </c>
      <c r="H383" s="7">
        <v>45856</v>
      </c>
      <c r="I383" s="7">
        <v>45874</v>
      </c>
      <c r="J383" s="5" t="s">
        <v>147</v>
      </c>
      <c r="K383" s="5" t="s">
        <v>148</v>
      </c>
      <c r="L383" s="8">
        <v>236941.7</v>
      </c>
      <c r="M383" s="5" t="s">
        <v>99</v>
      </c>
      <c r="N383" s="5" t="s">
        <v>48</v>
      </c>
      <c r="O383" s="5" t="s">
        <v>93</v>
      </c>
      <c r="P383" s="5" t="str">
        <f>IF(hospital_patient_unclean_500__2[[#This Row],[Age]]&lt;18,"0-17",IF(hospital_patient_unclean_500__2[[#This Row],[Age]]&lt;36,"18-35",IF(hospital_patient_unclean_500__2[[#This Row],[Age]]&lt;51,"36-50",IF(hospital_patient_unclean_500__2[[#This Row],[Age]]&lt;66,"51-65","66+"))))</f>
        <v>36-50</v>
      </c>
    </row>
    <row r="384" spans="1:16" x14ac:dyDescent="0.3">
      <c r="A384" s="5" t="s">
        <v>684</v>
      </c>
      <c r="B384" s="5" t="s">
        <v>609</v>
      </c>
      <c r="C384" s="6">
        <v>44</v>
      </c>
      <c r="D384" s="5" t="s">
        <v>17</v>
      </c>
      <c r="E384" s="5" t="s">
        <v>124</v>
      </c>
      <c r="F384" s="5" t="s">
        <v>28</v>
      </c>
      <c r="G384" s="5" t="s">
        <v>101</v>
      </c>
      <c r="H384" s="7">
        <v>45874</v>
      </c>
      <c r="I384" s="7">
        <v>45883</v>
      </c>
      <c r="J384" s="5" t="s">
        <v>30</v>
      </c>
      <c r="K384" s="5" t="s">
        <v>31</v>
      </c>
      <c r="L384" s="8">
        <v>192793.17</v>
      </c>
      <c r="M384" s="5" t="s">
        <v>32</v>
      </c>
      <c r="N384" s="5" t="s">
        <v>48</v>
      </c>
      <c r="O384" s="5" t="s">
        <v>820</v>
      </c>
      <c r="P384" s="5" t="str">
        <f>IF(hospital_patient_unclean_500__2[[#This Row],[Age]]&lt;18,"0-17",IF(hospital_patient_unclean_500__2[[#This Row],[Age]]&lt;36,"18-35",IF(hospital_patient_unclean_500__2[[#This Row],[Age]]&lt;51,"36-50",IF(hospital_patient_unclean_500__2[[#This Row],[Age]]&lt;66,"51-65","66+"))))</f>
        <v>36-50</v>
      </c>
    </row>
    <row r="385" spans="1:16" x14ac:dyDescent="0.3">
      <c r="A385" s="5" t="s">
        <v>685</v>
      </c>
      <c r="B385" s="5" t="s">
        <v>686</v>
      </c>
      <c r="C385" s="6">
        <v>86</v>
      </c>
      <c r="D385" s="5" t="s">
        <v>51</v>
      </c>
      <c r="E385" s="5" t="s">
        <v>64</v>
      </c>
      <c r="F385" s="5" t="s">
        <v>53</v>
      </c>
      <c r="G385" s="5" t="s">
        <v>69</v>
      </c>
      <c r="H385" s="7">
        <v>45898</v>
      </c>
      <c r="I385" s="7">
        <v>45898</v>
      </c>
      <c r="J385" s="5" t="s">
        <v>70</v>
      </c>
      <c r="K385" s="5" t="s">
        <v>71</v>
      </c>
      <c r="L385" s="8">
        <v>266992.5</v>
      </c>
      <c r="M385" s="5" t="s">
        <v>60</v>
      </c>
      <c r="N385" s="5" t="s">
        <v>61</v>
      </c>
      <c r="O385" s="5" t="s">
        <v>820</v>
      </c>
      <c r="P385" s="5" t="str">
        <f>IF(hospital_patient_unclean_500__2[[#This Row],[Age]]&lt;18,"0-17",IF(hospital_patient_unclean_500__2[[#This Row],[Age]]&lt;36,"18-35",IF(hospital_patient_unclean_500__2[[#This Row],[Age]]&lt;51,"36-50",IF(hospital_patient_unclean_500__2[[#This Row],[Age]]&lt;66,"51-65","66+"))))</f>
        <v>66+</v>
      </c>
    </row>
    <row r="386" spans="1:16" x14ac:dyDescent="0.3">
      <c r="A386" s="5" t="s">
        <v>687</v>
      </c>
      <c r="B386" s="5" t="s">
        <v>688</v>
      </c>
      <c r="C386" s="6">
        <v>77</v>
      </c>
      <c r="D386" s="5" t="s">
        <v>51</v>
      </c>
      <c r="E386" s="5" t="s">
        <v>124</v>
      </c>
      <c r="F386" s="5" t="s">
        <v>132</v>
      </c>
      <c r="G386" s="5" t="s">
        <v>223</v>
      </c>
      <c r="H386" s="7">
        <v>45787</v>
      </c>
      <c r="I386" s="7">
        <v>45802</v>
      </c>
      <c r="J386" s="5" t="s">
        <v>147</v>
      </c>
      <c r="K386" s="5" t="s">
        <v>148</v>
      </c>
      <c r="L386" s="8">
        <v>210266.08</v>
      </c>
      <c r="M386" s="5" t="s">
        <v>40</v>
      </c>
      <c r="N386" s="5" t="s">
        <v>61</v>
      </c>
      <c r="O386" s="5" t="s">
        <v>34</v>
      </c>
      <c r="P386" s="5" t="str">
        <f>IF(hospital_patient_unclean_500__2[[#This Row],[Age]]&lt;18,"0-17",IF(hospital_patient_unclean_500__2[[#This Row],[Age]]&lt;36,"18-35",IF(hospital_patient_unclean_500__2[[#This Row],[Age]]&lt;51,"36-50",IF(hospital_patient_unclean_500__2[[#This Row],[Age]]&lt;66,"51-65","66+"))))</f>
        <v>66+</v>
      </c>
    </row>
    <row r="387" spans="1:16" x14ac:dyDescent="0.3">
      <c r="A387" s="5" t="s">
        <v>689</v>
      </c>
      <c r="B387" s="5" t="s">
        <v>690</v>
      </c>
      <c r="C387" s="6">
        <v>59</v>
      </c>
      <c r="D387" s="5" t="s">
        <v>17</v>
      </c>
      <c r="E387" s="5" t="s">
        <v>124</v>
      </c>
      <c r="F387" s="5" t="s">
        <v>53</v>
      </c>
      <c r="G387" s="5" t="s">
        <v>819</v>
      </c>
      <c r="H387" s="7">
        <v>45978</v>
      </c>
      <c r="I387" s="7">
        <v>45985</v>
      </c>
      <c r="J387" s="5" t="s">
        <v>107</v>
      </c>
      <c r="K387" s="5" t="s">
        <v>108</v>
      </c>
      <c r="L387" s="8">
        <v>45237.98</v>
      </c>
      <c r="M387" s="5" t="s">
        <v>47</v>
      </c>
      <c r="N387" s="5" t="s">
        <v>61</v>
      </c>
      <c r="O387" s="5" t="s">
        <v>820</v>
      </c>
      <c r="P387" s="5" t="str">
        <f>IF(hospital_patient_unclean_500__2[[#This Row],[Age]]&lt;18,"0-17",IF(hospital_patient_unclean_500__2[[#This Row],[Age]]&lt;36,"18-35",IF(hospital_patient_unclean_500__2[[#This Row],[Age]]&lt;51,"36-50",IF(hospital_patient_unclean_500__2[[#This Row],[Age]]&lt;66,"51-65","66+"))))</f>
        <v>51-65</v>
      </c>
    </row>
    <row r="388" spans="1:16" x14ac:dyDescent="0.3">
      <c r="A388" s="5" t="s">
        <v>691</v>
      </c>
      <c r="B388" s="5" t="s">
        <v>714</v>
      </c>
      <c r="C388" s="6">
        <v>59</v>
      </c>
      <c r="D388" s="5" t="s">
        <v>17</v>
      </c>
      <c r="E388" s="5" t="s">
        <v>52</v>
      </c>
      <c r="F388" s="5" t="s">
        <v>38</v>
      </c>
      <c r="G388" s="5" t="s">
        <v>167</v>
      </c>
      <c r="H388" s="7">
        <v>46017</v>
      </c>
      <c r="I388" s="7">
        <v>46034</v>
      </c>
      <c r="J388" s="5" t="s">
        <v>97</v>
      </c>
      <c r="K388" s="5" t="s">
        <v>98</v>
      </c>
      <c r="L388" s="8">
        <v>286366.02</v>
      </c>
      <c r="M388" s="5" t="s">
        <v>40</v>
      </c>
      <c r="N388" s="5" t="s">
        <v>61</v>
      </c>
      <c r="O388" s="5" t="s">
        <v>820</v>
      </c>
      <c r="P388" s="5" t="str">
        <f>IF(hospital_patient_unclean_500__2[[#This Row],[Age]]&lt;18,"0-17",IF(hospital_patient_unclean_500__2[[#This Row],[Age]]&lt;36,"18-35",IF(hospital_patient_unclean_500__2[[#This Row],[Age]]&lt;51,"36-50",IF(hospital_patient_unclean_500__2[[#This Row],[Age]]&lt;66,"51-65","66+"))))</f>
        <v>51-65</v>
      </c>
    </row>
    <row r="389" spans="1:16" x14ac:dyDescent="0.3">
      <c r="A389" s="5" t="s">
        <v>692</v>
      </c>
      <c r="B389" s="5" t="s">
        <v>342</v>
      </c>
      <c r="C389" s="6">
        <v>45</v>
      </c>
      <c r="D389" s="5" t="s">
        <v>51</v>
      </c>
      <c r="E389" s="5" t="s">
        <v>37</v>
      </c>
      <c r="F389" s="5" t="s">
        <v>19</v>
      </c>
      <c r="G389" s="5" t="s">
        <v>105</v>
      </c>
      <c r="H389" s="7">
        <v>45963</v>
      </c>
      <c r="I389" s="7">
        <v>45977</v>
      </c>
      <c r="J389" s="5" t="s">
        <v>21</v>
      </c>
      <c r="K389" s="5" t="s">
        <v>819</v>
      </c>
      <c r="L389" s="8">
        <v>321069.3</v>
      </c>
      <c r="M389" s="5" t="s">
        <v>819</v>
      </c>
      <c r="N389" s="5" t="s">
        <v>65</v>
      </c>
      <c r="O389" s="5" t="s">
        <v>819</v>
      </c>
      <c r="P389" s="5" t="str">
        <f>IF(hospital_patient_unclean_500__2[[#This Row],[Age]]&lt;18,"0-17",IF(hospital_patient_unclean_500__2[[#This Row],[Age]]&lt;36,"18-35",IF(hospital_patient_unclean_500__2[[#This Row],[Age]]&lt;51,"36-50",IF(hospital_patient_unclean_500__2[[#This Row],[Age]]&lt;66,"51-65","66+"))))</f>
        <v>36-50</v>
      </c>
    </row>
    <row r="390" spans="1:16" x14ac:dyDescent="0.3">
      <c r="A390" s="5" t="s">
        <v>693</v>
      </c>
      <c r="B390" s="5" t="s">
        <v>228</v>
      </c>
      <c r="C390" s="6">
        <v>11</v>
      </c>
      <c r="D390" s="5" t="s">
        <v>51</v>
      </c>
      <c r="E390" s="5" t="s">
        <v>68</v>
      </c>
      <c r="F390" s="5" t="s">
        <v>44</v>
      </c>
      <c r="G390" s="5" t="s">
        <v>153</v>
      </c>
      <c r="H390" s="7">
        <v>45926</v>
      </c>
      <c r="I390" s="7">
        <v>45976</v>
      </c>
      <c r="J390" s="5" t="s">
        <v>232</v>
      </c>
      <c r="K390" s="5" t="s">
        <v>160</v>
      </c>
      <c r="L390" s="8">
        <v>284124.01</v>
      </c>
      <c r="M390" s="5" t="s">
        <v>60</v>
      </c>
      <c r="N390" s="5" t="s">
        <v>48</v>
      </c>
      <c r="O390" s="5" t="s">
        <v>41</v>
      </c>
      <c r="P390" s="5" t="str">
        <f>IF(hospital_patient_unclean_500__2[[#This Row],[Age]]&lt;18,"0-17",IF(hospital_patient_unclean_500__2[[#This Row],[Age]]&lt;36,"18-35",IF(hospital_patient_unclean_500__2[[#This Row],[Age]]&lt;51,"36-50",IF(hospital_patient_unclean_500__2[[#This Row],[Age]]&lt;66,"51-65","66+"))))</f>
        <v>0-17</v>
      </c>
    </row>
    <row r="391" spans="1:16" x14ac:dyDescent="0.3">
      <c r="A391" s="5" t="s">
        <v>694</v>
      </c>
      <c r="B391" s="5" t="s">
        <v>83</v>
      </c>
      <c r="C391" s="6">
        <v>25</v>
      </c>
      <c r="D391" s="5" t="s">
        <v>17</v>
      </c>
      <c r="E391" s="5" t="s">
        <v>124</v>
      </c>
      <c r="F391" s="5" t="s">
        <v>87</v>
      </c>
      <c r="G391" s="5" t="s">
        <v>324</v>
      </c>
      <c r="H391" s="7">
        <v>45964</v>
      </c>
      <c r="I391" s="7">
        <v>45974</v>
      </c>
      <c r="J391" s="5" t="s">
        <v>192</v>
      </c>
      <c r="K391" s="5" t="s">
        <v>193</v>
      </c>
      <c r="L391" s="8">
        <v>205456.56</v>
      </c>
      <c r="M391" s="5" t="s">
        <v>72</v>
      </c>
      <c r="N391" s="5" t="s">
        <v>33</v>
      </c>
      <c r="O391" s="5" t="s">
        <v>820</v>
      </c>
      <c r="P391" s="5" t="str">
        <f>IF(hospital_patient_unclean_500__2[[#This Row],[Age]]&lt;18,"0-17",IF(hospital_patient_unclean_500__2[[#This Row],[Age]]&lt;36,"18-35",IF(hospital_patient_unclean_500__2[[#This Row],[Age]]&lt;51,"36-50",IF(hospital_patient_unclean_500__2[[#This Row],[Age]]&lt;66,"51-65","66+"))))</f>
        <v>18-35</v>
      </c>
    </row>
    <row r="392" spans="1:16" x14ac:dyDescent="0.3">
      <c r="A392" s="5" t="s">
        <v>695</v>
      </c>
      <c r="B392" s="5" t="s">
        <v>823</v>
      </c>
      <c r="C392" s="6">
        <v>12</v>
      </c>
      <c r="D392" s="5" t="s">
        <v>51</v>
      </c>
      <c r="E392" s="5" t="s">
        <v>18</v>
      </c>
      <c r="F392" s="5" t="s">
        <v>38</v>
      </c>
      <c r="G392" s="5" t="s">
        <v>125</v>
      </c>
      <c r="H392" s="7">
        <v>45681</v>
      </c>
      <c r="I392" s="7">
        <v>45690</v>
      </c>
      <c r="J392" s="5" t="s">
        <v>97</v>
      </c>
      <c r="K392" s="5" t="s">
        <v>98</v>
      </c>
      <c r="L392" s="8">
        <v>220121.52</v>
      </c>
      <c r="M392" s="5" t="s">
        <v>47</v>
      </c>
      <c r="N392" s="5" t="s">
        <v>48</v>
      </c>
      <c r="O392" s="5" t="s">
        <v>820</v>
      </c>
      <c r="P392" s="5" t="str">
        <f>IF(hospital_patient_unclean_500__2[[#This Row],[Age]]&lt;18,"0-17",IF(hospital_patient_unclean_500__2[[#This Row],[Age]]&lt;36,"18-35",IF(hospital_patient_unclean_500__2[[#This Row],[Age]]&lt;51,"36-50",IF(hospital_patient_unclean_500__2[[#This Row],[Age]]&lt;66,"51-65","66+"))))</f>
        <v>0-17</v>
      </c>
    </row>
    <row r="393" spans="1:16" x14ac:dyDescent="0.3">
      <c r="A393" s="5" t="s">
        <v>696</v>
      </c>
      <c r="B393" s="5" t="s">
        <v>826</v>
      </c>
      <c r="C393" s="6">
        <v>66</v>
      </c>
      <c r="D393" s="5" t="s">
        <v>51</v>
      </c>
      <c r="E393" s="5" t="s">
        <v>111</v>
      </c>
      <c r="F393" s="5" t="s">
        <v>19</v>
      </c>
      <c r="G393" s="5" t="s">
        <v>105</v>
      </c>
      <c r="H393" s="7">
        <v>45675</v>
      </c>
      <c r="I393" s="7">
        <v>45693</v>
      </c>
      <c r="J393" s="5" t="s">
        <v>21</v>
      </c>
      <c r="K393" s="5" t="s">
        <v>22</v>
      </c>
      <c r="L393" s="8">
        <v>45668.1</v>
      </c>
      <c r="M393" s="5" t="s">
        <v>819</v>
      </c>
      <c r="N393" s="5" t="s">
        <v>48</v>
      </c>
      <c r="O393" s="5" t="s">
        <v>25</v>
      </c>
      <c r="P393" s="5" t="str">
        <f>IF(hospital_patient_unclean_500__2[[#This Row],[Age]]&lt;18,"0-17",IF(hospital_patient_unclean_500__2[[#This Row],[Age]]&lt;36,"18-35",IF(hospital_patient_unclean_500__2[[#This Row],[Age]]&lt;51,"36-50",IF(hospital_patient_unclean_500__2[[#This Row],[Age]]&lt;66,"51-65","66+"))))</f>
        <v>66+</v>
      </c>
    </row>
    <row r="394" spans="1:16" x14ac:dyDescent="0.3">
      <c r="A394" s="5" t="s">
        <v>697</v>
      </c>
      <c r="B394" s="5" t="s">
        <v>273</v>
      </c>
      <c r="C394" s="6">
        <v>9</v>
      </c>
      <c r="D394" s="5" t="s">
        <v>17</v>
      </c>
      <c r="E394" s="5" t="s">
        <v>18</v>
      </c>
      <c r="F394" s="5" t="s">
        <v>38</v>
      </c>
      <c r="G394" s="5" t="s">
        <v>125</v>
      </c>
      <c r="H394" s="7">
        <v>45669</v>
      </c>
      <c r="I394" s="7">
        <v>45683</v>
      </c>
      <c r="J394" s="5" t="s">
        <v>828</v>
      </c>
      <c r="K394" s="5" t="s">
        <v>39</v>
      </c>
      <c r="L394" s="8">
        <v>274018.15999999997</v>
      </c>
      <c r="M394" s="5" t="s">
        <v>23</v>
      </c>
      <c r="N394" s="5" t="s">
        <v>61</v>
      </c>
      <c r="O394" s="5" t="s">
        <v>820</v>
      </c>
      <c r="P394" s="5" t="str">
        <f>IF(hospital_patient_unclean_500__2[[#This Row],[Age]]&lt;18,"0-17",IF(hospital_patient_unclean_500__2[[#This Row],[Age]]&lt;36,"18-35",IF(hospital_patient_unclean_500__2[[#This Row],[Age]]&lt;51,"36-50",IF(hospital_patient_unclean_500__2[[#This Row],[Age]]&lt;66,"51-65","66+"))))</f>
        <v>0-17</v>
      </c>
    </row>
    <row r="395" spans="1:16" x14ac:dyDescent="0.3">
      <c r="A395" s="5" t="s">
        <v>698</v>
      </c>
      <c r="B395" s="5" t="s">
        <v>246</v>
      </c>
      <c r="C395" s="6">
        <v>58</v>
      </c>
      <c r="D395" s="5" t="s">
        <v>51</v>
      </c>
      <c r="E395" s="5" t="s">
        <v>84</v>
      </c>
      <c r="F395" s="5" t="s">
        <v>87</v>
      </c>
      <c r="G395" s="5" t="s">
        <v>88</v>
      </c>
      <c r="H395" s="7">
        <v>45703</v>
      </c>
      <c r="I395" s="7">
        <v>45705</v>
      </c>
      <c r="J395" s="5" t="s">
        <v>89</v>
      </c>
      <c r="K395" s="5" t="s">
        <v>92</v>
      </c>
      <c r="L395" s="8">
        <v>258752.78</v>
      </c>
      <c r="M395" s="5" t="s">
        <v>32</v>
      </c>
      <c r="N395" s="5" t="s">
        <v>33</v>
      </c>
      <c r="O395" s="5" t="s">
        <v>25</v>
      </c>
      <c r="P395" s="5" t="str">
        <f>IF(hospital_patient_unclean_500__2[[#This Row],[Age]]&lt;18,"0-17",IF(hospital_patient_unclean_500__2[[#This Row],[Age]]&lt;36,"18-35",IF(hospital_patient_unclean_500__2[[#This Row],[Age]]&lt;51,"36-50",IF(hospital_patient_unclean_500__2[[#This Row],[Age]]&lt;66,"51-65","66+"))))</f>
        <v>51-65</v>
      </c>
    </row>
    <row r="396" spans="1:16" x14ac:dyDescent="0.3">
      <c r="A396" s="5" t="s">
        <v>699</v>
      </c>
      <c r="B396" s="5" t="s">
        <v>430</v>
      </c>
      <c r="C396" s="6">
        <v>62</v>
      </c>
      <c r="D396" s="5" t="s">
        <v>17</v>
      </c>
      <c r="E396" s="5" t="s">
        <v>64</v>
      </c>
      <c r="F396" s="5" t="s">
        <v>53</v>
      </c>
      <c r="G396" s="5" t="s">
        <v>143</v>
      </c>
      <c r="H396" s="7">
        <v>45988</v>
      </c>
      <c r="I396" s="7">
        <v>45988</v>
      </c>
      <c r="J396" s="5" t="s">
        <v>70</v>
      </c>
      <c r="K396" s="5" t="s">
        <v>71</v>
      </c>
      <c r="L396" s="8">
        <v>331071.07</v>
      </c>
      <c r="M396" s="5" t="s">
        <v>72</v>
      </c>
      <c r="N396" s="5" t="s">
        <v>65</v>
      </c>
      <c r="O396" s="5" t="s">
        <v>819</v>
      </c>
      <c r="P396" s="5" t="str">
        <f>IF(hospital_patient_unclean_500__2[[#This Row],[Age]]&lt;18,"0-17",IF(hospital_patient_unclean_500__2[[#This Row],[Age]]&lt;36,"18-35",IF(hospital_patient_unclean_500__2[[#This Row],[Age]]&lt;51,"36-50",IF(hospital_patient_unclean_500__2[[#This Row],[Age]]&lt;66,"51-65","66+"))))</f>
        <v>51-65</v>
      </c>
    </row>
    <row r="397" spans="1:16" x14ac:dyDescent="0.3">
      <c r="A397" s="5" t="s">
        <v>700</v>
      </c>
      <c r="B397" s="5" t="s">
        <v>131</v>
      </c>
      <c r="C397" s="6">
        <v>78</v>
      </c>
      <c r="D397" s="5" t="s">
        <v>51</v>
      </c>
      <c r="E397" s="5" t="s">
        <v>84</v>
      </c>
      <c r="F397" s="5" t="s">
        <v>87</v>
      </c>
      <c r="G397" s="5" t="s">
        <v>324</v>
      </c>
      <c r="H397" s="7">
        <v>45887</v>
      </c>
      <c r="I397" s="7">
        <v>45888</v>
      </c>
      <c r="J397" s="5" t="s">
        <v>216</v>
      </c>
      <c r="K397" s="5" t="s">
        <v>839</v>
      </c>
      <c r="L397" s="8">
        <v>98132.13</v>
      </c>
      <c r="M397" s="5" t="s">
        <v>99</v>
      </c>
      <c r="N397" s="5" t="s">
        <v>24</v>
      </c>
      <c r="O397" s="5" t="s">
        <v>34</v>
      </c>
      <c r="P397" s="5" t="str">
        <f>IF(hospital_patient_unclean_500__2[[#This Row],[Age]]&lt;18,"0-17",IF(hospital_patient_unclean_500__2[[#This Row],[Age]]&lt;36,"18-35",IF(hospital_patient_unclean_500__2[[#This Row],[Age]]&lt;51,"36-50",IF(hospital_patient_unclean_500__2[[#This Row],[Age]]&lt;66,"51-65","66+"))))</f>
        <v>66+</v>
      </c>
    </row>
    <row r="398" spans="1:16" x14ac:dyDescent="0.3">
      <c r="A398" s="5" t="s">
        <v>701</v>
      </c>
      <c r="B398" s="5" t="s">
        <v>702</v>
      </c>
      <c r="C398" s="6">
        <v>54</v>
      </c>
      <c r="D398" s="5" t="s">
        <v>51</v>
      </c>
      <c r="E398" s="5" t="s">
        <v>37</v>
      </c>
      <c r="F398" s="5" t="s">
        <v>132</v>
      </c>
      <c r="G398" s="5" t="s">
        <v>223</v>
      </c>
      <c r="H398" s="7">
        <v>45892</v>
      </c>
      <c r="I398" s="7">
        <v>45901</v>
      </c>
      <c r="J398" s="5" t="s">
        <v>147</v>
      </c>
      <c r="K398" s="5" t="s">
        <v>148</v>
      </c>
      <c r="L398" s="8">
        <v>192719.37</v>
      </c>
      <c r="M398" s="5" t="s">
        <v>60</v>
      </c>
      <c r="N398" s="5" t="s">
        <v>819</v>
      </c>
      <c r="O398" s="5" t="s">
        <v>820</v>
      </c>
      <c r="P398" s="5" t="str">
        <f>IF(hospital_patient_unclean_500__2[[#This Row],[Age]]&lt;18,"0-17",IF(hospital_patient_unclean_500__2[[#This Row],[Age]]&lt;36,"18-35",IF(hospital_patient_unclean_500__2[[#This Row],[Age]]&lt;51,"36-50",IF(hospital_patient_unclean_500__2[[#This Row],[Age]]&lt;66,"51-65","66+"))))</f>
        <v>51-65</v>
      </c>
    </row>
    <row r="399" spans="1:16" x14ac:dyDescent="0.3">
      <c r="A399" s="5" t="s">
        <v>703</v>
      </c>
      <c r="B399" s="5" t="s">
        <v>370</v>
      </c>
      <c r="C399" s="6">
        <v>65</v>
      </c>
      <c r="D399" s="5" t="s">
        <v>17</v>
      </c>
      <c r="E399" s="5" t="s">
        <v>84</v>
      </c>
      <c r="F399" s="5" t="s">
        <v>44</v>
      </c>
      <c r="G399" s="5" t="s">
        <v>221</v>
      </c>
      <c r="H399" s="7">
        <v>45980</v>
      </c>
      <c r="I399" s="7">
        <v>45988</v>
      </c>
      <c r="J399" s="5" t="s">
        <v>154</v>
      </c>
      <c r="K399" s="5" t="s">
        <v>155</v>
      </c>
      <c r="L399" s="8">
        <v>306515.15000000002</v>
      </c>
      <c r="M399" s="5" t="s">
        <v>72</v>
      </c>
      <c r="N399" s="5" t="s">
        <v>61</v>
      </c>
      <c r="O399" s="5" t="s">
        <v>41</v>
      </c>
      <c r="P399" s="5" t="str">
        <f>IF(hospital_patient_unclean_500__2[[#This Row],[Age]]&lt;18,"0-17",IF(hospital_patient_unclean_500__2[[#This Row],[Age]]&lt;36,"18-35",IF(hospital_patient_unclean_500__2[[#This Row],[Age]]&lt;51,"36-50",IF(hospital_patient_unclean_500__2[[#This Row],[Age]]&lt;66,"51-65","66+"))))</f>
        <v>51-65</v>
      </c>
    </row>
    <row r="400" spans="1:16" x14ac:dyDescent="0.3">
      <c r="A400" s="5" t="s">
        <v>704</v>
      </c>
      <c r="B400" s="5" t="s">
        <v>705</v>
      </c>
      <c r="C400" s="6">
        <v>85</v>
      </c>
      <c r="D400" s="5" t="s">
        <v>51</v>
      </c>
      <c r="E400" s="5" t="s">
        <v>18</v>
      </c>
      <c r="F400" s="5" t="s">
        <v>53</v>
      </c>
      <c r="G400" s="5" t="s">
        <v>143</v>
      </c>
      <c r="H400" s="7">
        <v>45738</v>
      </c>
      <c r="I400" s="7">
        <v>45756</v>
      </c>
      <c r="J400" s="5" t="s">
        <v>200</v>
      </c>
      <c r="K400" s="5" t="s">
        <v>201</v>
      </c>
      <c r="L400" s="8">
        <v>269120.03999999998</v>
      </c>
      <c r="M400" s="5" t="s">
        <v>23</v>
      </c>
      <c r="N400" s="5" t="s">
        <v>819</v>
      </c>
      <c r="O400" s="5" t="s">
        <v>25</v>
      </c>
      <c r="P400" s="5" t="str">
        <f>IF(hospital_patient_unclean_500__2[[#This Row],[Age]]&lt;18,"0-17",IF(hospital_patient_unclean_500__2[[#This Row],[Age]]&lt;36,"18-35",IF(hospital_patient_unclean_500__2[[#This Row],[Age]]&lt;51,"36-50",IF(hospital_patient_unclean_500__2[[#This Row],[Age]]&lt;66,"51-65","66+"))))</f>
        <v>66+</v>
      </c>
    </row>
    <row r="401" spans="1:16" x14ac:dyDescent="0.3">
      <c r="A401" s="5" t="s">
        <v>706</v>
      </c>
      <c r="B401" s="5" t="s">
        <v>379</v>
      </c>
      <c r="C401" s="6">
        <v>32</v>
      </c>
      <c r="D401" s="5" t="s">
        <v>51</v>
      </c>
      <c r="E401" s="5" t="s">
        <v>86</v>
      </c>
      <c r="F401" s="5" t="s">
        <v>87</v>
      </c>
      <c r="G401" s="5" t="s">
        <v>112</v>
      </c>
      <c r="H401" s="7">
        <v>45894</v>
      </c>
      <c r="I401" s="7">
        <v>45896</v>
      </c>
      <c r="J401" s="5" t="s">
        <v>171</v>
      </c>
      <c r="K401" s="5" t="s">
        <v>113</v>
      </c>
      <c r="L401" s="8">
        <v>147820.29</v>
      </c>
      <c r="M401" s="5" t="s">
        <v>23</v>
      </c>
      <c r="N401" s="5" t="s">
        <v>24</v>
      </c>
      <c r="O401" s="5" t="s">
        <v>34</v>
      </c>
      <c r="P401" s="5" t="str">
        <f>IF(hospital_patient_unclean_500__2[[#This Row],[Age]]&lt;18,"0-17",IF(hospital_patient_unclean_500__2[[#This Row],[Age]]&lt;36,"18-35",IF(hospital_patient_unclean_500__2[[#This Row],[Age]]&lt;51,"36-50",IF(hospital_patient_unclean_500__2[[#This Row],[Age]]&lt;66,"51-65","66+"))))</f>
        <v>18-35</v>
      </c>
    </row>
    <row r="402" spans="1:16" x14ac:dyDescent="0.3">
      <c r="A402" s="5" t="s">
        <v>858</v>
      </c>
      <c r="B402" s="5" t="s">
        <v>702</v>
      </c>
      <c r="C402" s="6">
        <v>31</v>
      </c>
      <c r="D402" s="5" t="s">
        <v>51</v>
      </c>
      <c r="E402" s="5" t="s">
        <v>52</v>
      </c>
      <c r="F402" s="5" t="s">
        <v>28</v>
      </c>
      <c r="G402" s="5" t="s">
        <v>195</v>
      </c>
      <c r="H402" s="7">
        <v>45906</v>
      </c>
      <c r="I402" s="7">
        <v>45908</v>
      </c>
      <c r="J402" s="5" t="s">
        <v>189</v>
      </c>
      <c r="K402" s="5" t="s">
        <v>835</v>
      </c>
      <c r="L402" s="8">
        <v>310729.95</v>
      </c>
      <c r="M402" s="5" t="s">
        <v>72</v>
      </c>
      <c r="N402" s="5" t="s">
        <v>24</v>
      </c>
      <c r="O402" s="5" t="s">
        <v>820</v>
      </c>
      <c r="P402" s="5" t="str">
        <f>IF(hospital_patient_unclean_500__2[[#This Row],[Age]]&lt;18,"0-17",IF(hospital_patient_unclean_500__2[[#This Row],[Age]]&lt;36,"18-35",IF(hospital_patient_unclean_500__2[[#This Row],[Age]]&lt;51,"36-50",IF(hospital_patient_unclean_500__2[[#This Row],[Age]]&lt;66,"51-65","66+"))))</f>
        <v>18-35</v>
      </c>
    </row>
    <row r="403" spans="1:16" x14ac:dyDescent="0.3">
      <c r="A403" s="5" t="s">
        <v>707</v>
      </c>
      <c r="B403" s="5" t="s">
        <v>708</v>
      </c>
      <c r="C403" s="6">
        <v>34</v>
      </c>
      <c r="D403" s="5" t="s">
        <v>17</v>
      </c>
      <c r="E403" s="5" t="s">
        <v>37</v>
      </c>
      <c r="F403" s="5" t="s">
        <v>38</v>
      </c>
      <c r="G403" s="5" t="s">
        <v>167</v>
      </c>
      <c r="H403" s="7">
        <v>45962</v>
      </c>
      <c r="I403" s="7">
        <v>45971</v>
      </c>
      <c r="J403" s="5" t="s">
        <v>97</v>
      </c>
      <c r="K403" s="5" t="s">
        <v>98</v>
      </c>
      <c r="L403" s="8">
        <v>174458.85</v>
      </c>
      <c r="M403" s="5" t="s">
        <v>60</v>
      </c>
      <c r="N403" s="5" t="s">
        <v>48</v>
      </c>
      <c r="O403" s="5" t="s">
        <v>34</v>
      </c>
      <c r="P403" s="5" t="str">
        <f>IF(hospital_patient_unclean_500__2[[#This Row],[Age]]&lt;18,"0-17",IF(hospital_patient_unclean_500__2[[#This Row],[Age]]&lt;36,"18-35",IF(hospital_patient_unclean_500__2[[#This Row],[Age]]&lt;51,"36-50",IF(hospital_patient_unclean_500__2[[#This Row],[Age]]&lt;66,"51-65","66+"))))</f>
        <v>18-35</v>
      </c>
    </row>
    <row r="404" spans="1:16" x14ac:dyDescent="0.3">
      <c r="A404" s="5" t="s">
        <v>859</v>
      </c>
      <c r="B404" s="5" t="s">
        <v>545</v>
      </c>
      <c r="C404" s="6">
        <v>7</v>
      </c>
      <c r="D404" s="5" t="s">
        <v>51</v>
      </c>
      <c r="E404" s="5" t="s">
        <v>37</v>
      </c>
      <c r="F404" s="5" t="s">
        <v>132</v>
      </c>
      <c r="G404" s="5" t="s">
        <v>133</v>
      </c>
      <c r="H404" s="7">
        <v>45989</v>
      </c>
      <c r="I404" s="7">
        <v>45989</v>
      </c>
      <c r="J404" s="5" t="s">
        <v>173</v>
      </c>
      <c r="K404" s="5" t="s">
        <v>174</v>
      </c>
      <c r="L404" s="8">
        <v>316907.76</v>
      </c>
      <c r="M404" s="5" t="s">
        <v>23</v>
      </c>
      <c r="N404" s="5" t="s">
        <v>24</v>
      </c>
      <c r="O404" s="5" t="s">
        <v>41</v>
      </c>
      <c r="P404" s="5" t="str">
        <f>IF(hospital_patient_unclean_500__2[[#This Row],[Age]]&lt;18,"0-17",IF(hospital_patient_unclean_500__2[[#This Row],[Age]]&lt;36,"18-35",IF(hospital_patient_unclean_500__2[[#This Row],[Age]]&lt;51,"36-50",IF(hospital_patient_unclean_500__2[[#This Row],[Age]]&lt;66,"51-65","66+"))))</f>
        <v>0-17</v>
      </c>
    </row>
    <row r="405" spans="1:16" x14ac:dyDescent="0.3">
      <c r="A405" s="5" t="s">
        <v>709</v>
      </c>
      <c r="B405" s="5" t="s">
        <v>243</v>
      </c>
      <c r="C405" s="6">
        <v>69</v>
      </c>
      <c r="D405" s="5" t="s">
        <v>51</v>
      </c>
      <c r="E405" s="5" t="s">
        <v>86</v>
      </c>
      <c r="F405" s="5" t="s">
        <v>19</v>
      </c>
      <c r="G405" s="5" t="s">
        <v>819</v>
      </c>
      <c r="H405" s="7">
        <v>45987</v>
      </c>
      <c r="I405" s="7">
        <v>45987</v>
      </c>
      <c r="J405" s="5" t="s">
        <v>21</v>
      </c>
      <c r="K405" s="5" t="s">
        <v>22</v>
      </c>
      <c r="L405" s="8">
        <v>142969.68</v>
      </c>
      <c r="M405" s="5" t="s">
        <v>32</v>
      </c>
      <c r="N405" s="5" t="s">
        <v>65</v>
      </c>
      <c r="O405" s="5" t="s">
        <v>93</v>
      </c>
      <c r="P405" s="5" t="str">
        <f>IF(hospital_patient_unclean_500__2[[#This Row],[Age]]&lt;18,"0-17",IF(hospital_patient_unclean_500__2[[#This Row],[Age]]&lt;36,"18-35",IF(hospital_patient_unclean_500__2[[#This Row],[Age]]&lt;51,"36-50",IF(hospital_patient_unclean_500__2[[#This Row],[Age]]&lt;66,"51-65","66+"))))</f>
        <v>66+</v>
      </c>
    </row>
    <row r="406" spans="1:16" x14ac:dyDescent="0.3">
      <c r="A406" s="5" t="s">
        <v>710</v>
      </c>
      <c r="B406" s="5" t="s">
        <v>353</v>
      </c>
      <c r="C406" s="6">
        <v>35</v>
      </c>
      <c r="D406" s="5" t="s">
        <v>17</v>
      </c>
      <c r="E406" s="5" t="s">
        <v>43</v>
      </c>
      <c r="F406" s="5" t="s">
        <v>53</v>
      </c>
      <c r="G406" s="5" t="s">
        <v>69</v>
      </c>
      <c r="H406" s="7">
        <v>45985</v>
      </c>
      <c r="I406" s="7">
        <v>45988</v>
      </c>
      <c r="J406" s="5" t="s">
        <v>55</v>
      </c>
      <c r="K406" s="5" t="s">
        <v>56</v>
      </c>
      <c r="L406" s="8">
        <v>319510.84000000003</v>
      </c>
      <c r="M406" s="5" t="s">
        <v>60</v>
      </c>
      <c r="N406" s="5" t="s">
        <v>61</v>
      </c>
      <c r="O406" s="5" t="s">
        <v>25</v>
      </c>
      <c r="P406" s="5" t="str">
        <f>IF(hospital_patient_unclean_500__2[[#This Row],[Age]]&lt;18,"0-17",IF(hospital_patient_unclean_500__2[[#This Row],[Age]]&lt;36,"18-35",IF(hospital_patient_unclean_500__2[[#This Row],[Age]]&lt;51,"36-50",IF(hospital_patient_unclean_500__2[[#This Row],[Age]]&lt;66,"51-65","66+"))))</f>
        <v>18-35</v>
      </c>
    </row>
    <row r="407" spans="1:16" x14ac:dyDescent="0.3">
      <c r="A407" s="5" t="s">
        <v>711</v>
      </c>
      <c r="B407" s="5" t="s">
        <v>248</v>
      </c>
      <c r="C407" s="6">
        <v>67</v>
      </c>
      <c r="D407" s="5" t="s">
        <v>17</v>
      </c>
      <c r="E407" s="5" t="s">
        <v>37</v>
      </c>
      <c r="F407" s="5" t="s">
        <v>19</v>
      </c>
      <c r="G407" s="5" t="s">
        <v>20</v>
      </c>
      <c r="H407" s="7">
        <v>45663</v>
      </c>
      <c r="I407" s="7">
        <v>45677</v>
      </c>
      <c r="J407" s="5" t="s">
        <v>267</v>
      </c>
      <c r="K407" s="5" t="s">
        <v>268</v>
      </c>
      <c r="L407" s="8">
        <v>200127.72</v>
      </c>
      <c r="M407" s="5" t="s">
        <v>60</v>
      </c>
      <c r="N407" s="5" t="s">
        <v>33</v>
      </c>
      <c r="O407" s="5" t="s">
        <v>34</v>
      </c>
      <c r="P407" s="5" t="str">
        <f>IF(hospital_patient_unclean_500__2[[#This Row],[Age]]&lt;18,"0-17",IF(hospital_patient_unclean_500__2[[#This Row],[Age]]&lt;36,"18-35",IF(hospital_patient_unclean_500__2[[#This Row],[Age]]&lt;51,"36-50",IF(hospital_patient_unclean_500__2[[#This Row],[Age]]&lt;66,"51-65","66+"))))</f>
        <v>66+</v>
      </c>
    </row>
    <row r="408" spans="1:16" x14ac:dyDescent="0.3">
      <c r="A408" s="5" t="s">
        <v>712</v>
      </c>
      <c r="B408" s="5" t="s">
        <v>724</v>
      </c>
      <c r="C408" s="6">
        <v>40</v>
      </c>
      <c r="D408" s="5" t="s">
        <v>17</v>
      </c>
      <c r="E408" s="5" t="s">
        <v>52</v>
      </c>
      <c r="F408" s="5" t="s">
        <v>132</v>
      </c>
      <c r="G408" s="5" t="s">
        <v>133</v>
      </c>
      <c r="H408" s="7">
        <v>45751</v>
      </c>
      <c r="I408" s="7">
        <v>45751</v>
      </c>
      <c r="J408" s="5" t="s">
        <v>147</v>
      </c>
      <c r="K408" s="5" t="s">
        <v>148</v>
      </c>
      <c r="L408" s="8">
        <v>165777.60000000001</v>
      </c>
      <c r="M408" s="5" t="s">
        <v>72</v>
      </c>
      <c r="N408" s="5" t="s">
        <v>65</v>
      </c>
      <c r="O408" s="5" t="s">
        <v>41</v>
      </c>
      <c r="P408" s="5" t="str">
        <f>IF(hospital_patient_unclean_500__2[[#This Row],[Age]]&lt;18,"0-17",IF(hospital_patient_unclean_500__2[[#This Row],[Age]]&lt;36,"18-35",IF(hospital_patient_unclean_500__2[[#This Row],[Age]]&lt;51,"36-50",IF(hospital_patient_unclean_500__2[[#This Row],[Age]]&lt;66,"51-65","66+"))))</f>
        <v>36-50</v>
      </c>
    </row>
    <row r="409" spans="1:16" x14ac:dyDescent="0.3">
      <c r="A409" s="5" t="s">
        <v>713</v>
      </c>
      <c r="B409" s="5" t="s">
        <v>714</v>
      </c>
      <c r="C409" s="6">
        <v>78</v>
      </c>
      <c r="D409" s="5" t="s">
        <v>17</v>
      </c>
      <c r="E409" s="5" t="s">
        <v>84</v>
      </c>
      <c r="F409" s="5" t="s">
        <v>19</v>
      </c>
      <c r="G409" s="5" t="s">
        <v>158</v>
      </c>
      <c r="H409" s="7">
        <v>45756</v>
      </c>
      <c r="I409" s="7">
        <v>45763</v>
      </c>
      <c r="J409" s="5" t="s">
        <v>21</v>
      </c>
      <c r="K409" s="5" t="s">
        <v>22</v>
      </c>
      <c r="L409" s="8">
        <v>190444.94</v>
      </c>
      <c r="M409" s="5" t="s">
        <v>60</v>
      </c>
      <c r="N409" s="5" t="s">
        <v>33</v>
      </c>
      <c r="O409" s="5" t="s">
        <v>819</v>
      </c>
      <c r="P409" s="5" t="str">
        <f>IF(hospital_patient_unclean_500__2[[#This Row],[Age]]&lt;18,"0-17",IF(hospital_patient_unclean_500__2[[#This Row],[Age]]&lt;36,"18-35",IF(hospital_patient_unclean_500__2[[#This Row],[Age]]&lt;51,"36-50",IF(hospital_patient_unclean_500__2[[#This Row],[Age]]&lt;66,"51-65","66+"))))</f>
        <v>66+</v>
      </c>
    </row>
    <row r="410" spans="1:16" x14ac:dyDescent="0.3">
      <c r="A410" s="5" t="s">
        <v>715</v>
      </c>
      <c r="B410" s="5" t="s">
        <v>407</v>
      </c>
      <c r="C410" s="6">
        <v>14</v>
      </c>
      <c r="D410" s="5" t="s">
        <v>17</v>
      </c>
      <c r="E410" s="5" t="s">
        <v>64</v>
      </c>
      <c r="F410" s="5" t="s">
        <v>28</v>
      </c>
      <c r="G410" s="5" t="s">
        <v>101</v>
      </c>
      <c r="H410" s="7">
        <v>45798</v>
      </c>
      <c r="I410" s="7">
        <v>45838</v>
      </c>
      <c r="J410" s="5" t="s">
        <v>30</v>
      </c>
      <c r="K410" s="5" t="s">
        <v>31</v>
      </c>
      <c r="L410" s="8">
        <v>107567.59</v>
      </c>
      <c r="M410" s="5" t="s">
        <v>47</v>
      </c>
      <c r="N410" s="5" t="s">
        <v>61</v>
      </c>
      <c r="O410" s="5" t="s">
        <v>41</v>
      </c>
      <c r="P410" s="5" t="str">
        <f>IF(hospital_patient_unclean_500__2[[#This Row],[Age]]&lt;18,"0-17",IF(hospital_patient_unclean_500__2[[#This Row],[Age]]&lt;36,"18-35",IF(hospital_patient_unclean_500__2[[#This Row],[Age]]&lt;51,"36-50",IF(hospital_patient_unclean_500__2[[#This Row],[Age]]&lt;66,"51-65","66+"))))</f>
        <v>0-17</v>
      </c>
    </row>
    <row r="411" spans="1:16" x14ac:dyDescent="0.3">
      <c r="A411" s="5" t="s">
        <v>716</v>
      </c>
      <c r="B411" s="5" t="s">
        <v>819</v>
      </c>
      <c r="C411" s="6">
        <v>45</v>
      </c>
      <c r="D411" s="5" t="s">
        <v>51</v>
      </c>
      <c r="E411" s="5" t="s">
        <v>84</v>
      </c>
      <c r="F411" s="5" t="s">
        <v>28</v>
      </c>
      <c r="G411" s="5" t="s">
        <v>29</v>
      </c>
      <c r="H411" s="7">
        <v>45845</v>
      </c>
      <c r="I411" s="7">
        <v>45875</v>
      </c>
      <c r="J411" s="5" t="s">
        <v>30</v>
      </c>
      <c r="K411" s="5" t="s">
        <v>31</v>
      </c>
      <c r="L411" s="8">
        <v>281407.65999999997</v>
      </c>
      <c r="M411" s="5" t="s">
        <v>60</v>
      </c>
      <c r="N411" s="5" t="s">
        <v>65</v>
      </c>
      <c r="O411" s="5" t="s">
        <v>41</v>
      </c>
      <c r="P411" s="5" t="str">
        <f>IF(hospital_patient_unclean_500__2[[#This Row],[Age]]&lt;18,"0-17",IF(hospital_patient_unclean_500__2[[#This Row],[Age]]&lt;36,"18-35",IF(hospital_patient_unclean_500__2[[#This Row],[Age]]&lt;51,"36-50",IF(hospital_patient_unclean_500__2[[#This Row],[Age]]&lt;66,"51-65","66+"))))</f>
        <v>36-50</v>
      </c>
    </row>
    <row r="412" spans="1:16" x14ac:dyDescent="0.3">
      <c r="A412" s="5" t="s">
        <v>717</v>
      </c>
      <c r="B412" s="5" t="s">
        <v>718</v>
      </c>
      <c r="C412" s="6">
        <v>5</v>
      </c>
      <c r="D412" s="5" t="s">
        <v>51</v>
      </c>
      <c r="E412" s="5" t="s">
        <v>124</v>
      </c>
      <c r="F412" s="5" t="s">
        <v>38</v>
      </c>
      <c r="G412" s="5" t="s">
        <v>167</v>
      </c>
      <c r="H412" s="7">
        <v>45909</v>
      </c>
      <c r="I412" s="7">
        <v>45912</v>
      </c>
      <c r="J412" s="5" t="s">
        <v>97</v>
      </c>
      <c r="K412" s="5" t="s">
        <v>98</v>
      </c>
      <c r="L412" s="8">
        <v>0</v>
      </c>
      <c r="M412" s="5" t="s">
        <v>32</v>
      </c>
      <c r="N412" s="5" t="s">
        <v>819</v>
      </c>
      <c r="O412" s="5" t="s">
        <v>25</v>
      </c>
      <c r="P412" s="5" t="str">
        <f>IF(hospital_patient_unclean_500__2[[#This Row],[Age]]&lt;18,"0-17",IF(hospital_patient_unclean_500__2[[#This Row],[Age]]&lt;36,"18-35",IF(hospital_patient_unclean_500__2[[#This Row],[Age]]&lt;51,"36-50",IF(hospital_patient_unclean_500__2[[#This Row],[Age]]&lt;66,"51-65","66+"))))</f>
        <v>0-17</v>
      </c>
    </row>
    <row r="413" spans="1:16" x14ac:dyDescent="0.3">
      <c r="A413" s="5" t="s">
        <v>719</v>
      </c>
      <c r="B413" s="5" t="s">
        <v>605</v>
      </c>
      <c r="C413" s="6">
        <v>47</v>
      </c>
      <c r="D413" s="5" t="s">
        <v>51</v>
      </c>
      <c r="E413" s="5" t="s">
        <v>18</v>
      </c>
      <c r="F413" s="5" t="s">
        <v>28</v>
      </c>
      <c r="G413" s="5" t="s">
        <v>29</v>
      </c>
      <c r="H413" s="7">
        <v>45816</v>
      </c>
      <c r="I413" s="7">
        <v>45896</v>
      </c>
      <c r="J413" s="5" t="s">
        <v>30</v>
      </c>
      <c r="K413" s="5" t="s">
        <v>31</v>
      </c>
      <c r="L413" s="8">
        <v>174532.25</v>
      </c>
      <c r="M413" s="5" t="s">
        <v>99</v>
      </c>
      <c r="N413" s="5" t="s">
        <v>65</v>
      </c>
      <c r="O413" s="5" t="s">
        <v>41</v>
      </c>
      <c r="P413" s="5" t="str">
        <f>IF(hospital_patient_unclean_500__2[[#This Row],[Age]]&lt;18,"0-17",IF(hospital_patient_unclean_500__2[[#This Row],[Age]]&lt;36,"18-35",IF(hospital_patient_unclean_500__2[[#This Row],[Age]]&lt;51,"36-50",IF(hospital_patient_unclean_500__2[[#This Row],[Age]]&lt;66,"51-65","66+"))))</f>
        <v>36-50</v>
      </c>
    </row>
    <row r="414" spans="1:16" x14ac:dyDescent="0.3">
      <c r="A414" s="5" t="s">
        <v>720</v>
      </c>
      <c r="B414" s="5" t="s">
        <v>819</v>
      </c>
      <c r="C414" s="6">
        <v>44</v>
      </c>
      <c r="D414" s="5" t="s">
        <v>51</v>
      </c>
      <c r="E414" s="5" t="s">
        <v>37</v>
      </c>
      <c r="F414" s="5" t="s">
        <v>87</v>
      </c>
      <c r="G414" s="5" t="s">
        <v>112</v>
      </c>
      <c r="H414" s="7">
        <v>45722</v>
      </c>
      <c r="I414" s="7">
        <v>45888</v>
      </c>
      <c r="J414" s="5" t="s">
        <v>192</v>
      </c>
      <c r="K414" s="5" t="s">
        <v>193</v>
      </c>
      <c r="L414" s="8">
        <v>72763.16</v>
      </c>
      <c r="M414" s="5" t="s">
        <v>32</v>
      </c>
      <c r="N414" s="5" t="s">
        <v>24</v>
      </c>
      <c r="O414" s="5" t="s">
        <v>41</v>
      </c>
      <c r="P414" s="5" t="str">
        <f>IF(hospital_patient_unclean_500__2[[#This Row],[Age]]&lt;18,"0-17",IF(hospital_patient_unclean_500__2[[#This Row],[Age]]&lt;36,"18-35",IF(hospital_patient_unclean_500__2[[#This Row],[Age]]&lt;51,"36-50",IF(hospital_patient_unclean_500__2[[#This Row],[Age]]&lt;66,"51-65","66+"))))</f>
        <v>36-50</v>
      </c>
    </row>
    <row r="415" spans="1:16" x14ac:dyDescent="0.3">
      <c r="A415" s="5" t="s">
        <v>721</v>
      </c>
      <c r="B415" s="5" t="s">
        <v>213</v>
      </c>
      <c r="C415" s="6">
        <v>62</v>
      </c>
      <c r="D415" s="5" t="s">
        <v>17</v>
      </c>
      <c r="E415" s="5" t="s">
        <v>86</v>
      </c>
      <c r="F415" s="5" t="s">
        <v>38</v>
      </c>
      <c r="G415" s="5" t="s">
        <v>167</v>
      </c>
      <c r="H415" s="7">
        <v>45874</v>
      </c>
      <c r="I415" s="7">
        <v>45880</v>
      </c>
      <c r="J415" s="5" t="s">
        <v>80</v>
      </c>
      <c r="K415" s="5" t="s">
        <v>81</v>
      </c>
      <c r="L415" s="8">
        <v>177051.77</v>
      </c>
      <c r="M415" s="5" t="s">
        <v>60</v>
      </c>
      <c r="N415" s="5" t="s">
        <v>61</v>
      </c>
      <c r="O415" s="5" t="s">
        <v>25</v>
      </c>
      <c r="P415" s="5" t="str">
        <f>IF(hospital_patient_unclean_500__2[[#This Row],[Age]]&lt;18,"0-17",IF(hospital_patient_unclean_500__2[[#This Row],[Age]]&lt;36,"18-35",IF(hospital_patient_unclean_500__2[[#This Row],[Age]]&lt;51,"36-50",IF(hospital_patient_unclean_500__2[[#This Row],[Age]]&lt;66,"51-65","66+"))))</f>
        <v>51-65</v>
      </c>
    </row>
    <row r="416" spans="1:16" x14ac:dyDescent="0.3">
      <c r="A416" s="5" t="s">
        <v>722</v>
      </c>
      <c r="B416" s="5" t="s">
        <v>234</v>
      </c>
      <c r="C416" s="6">
        <v>65</v>
      </c>
      <c r="D416" s="5" t="s">
        <v>51</v>
      </c>
      <c r="E416" s="5" t="s">
        <v>18</v>
      </c>
      <c r="F416" s="5" t="s">
        <v>53</v>
      </c>
      <c r="G416" s="5" t="s">
        <v>69</v>
      </c>
      <c r="H416" s="7">
        <v>45938</v>
      </c>
      <c r="I416" s="7">
        <v>45954</v>
      </c>
      <c r="J416" s="5" t="s">
        <v>819</v>
      </c>
      <c r="K416" s="5" t="s">
        <v>71</v>
      </c>
      <c r="L416" s="8">
        <v>51762.55</v>
      </c>
      <c r="M416" s="5" t="s">
        <v>47</v>
      </c>
      <c r="N416" s="5" t="s">
        <v>33</v>
      </c>
      <c r="O416" s="5" t="s">
        <v>820</v>
      </c>
      <c r="P416" s="5" t="str">
        <f>IF(hospital_patient_unclean_500__2[[#This Row],[Age]]&lt;18,"0-17",IF(hospital_patient_unclean_500__2[[#This Row],[Age]]&lt;36,"18-35",IF(hospital_patient_unclean_500__2[[#This Row],[Age]]&lt;51,"36-50",IF(hospital_patient_unclean_500__2[[#This Row],[Age]]&lt;66,"51-65","66+"))))</f>
        <v>51-65</v>
      </c>
    </row>
    <row r="417" spans="1:16" x14ac:dyDescent="0.3">
      <c r="A417" s="5" t="s">
        <v>723</v>
      </c>
      <c r="B417" s="5" t="s">
        <v>724</v>
      </c>
      <c r="C417" s="6">
        <v>44</v>
      </c>
      <c r="D417" s="5" t="s">
        <v>17</v>
      </c>
      <c r="E417" s="5" t="s">
        <v>64</v>
      </c>
      <c r="F417" s="5" t="s">
        <v>44</v>
      </c>
      <c r="G417" s="5" t="s">
        <v>45</v>
      </c>
      <c r="H417" s="7">
        <v>45978</v>
      </c>
      <c r="I417" s="7">
        <v>45982</v>
      </c>
      <c r="J417" s="5" t="s">
        <v>232</v>
      </c>
      <c r="K417" s="5" t="s">
        <v>160</v>
      </c>
      <c r="L417" s="8">
        <v>172653.26</v>
      </c>
      <c r="M417" s="5" t="s">
        <v>72</v>
      </c>
      <c r="N417" s="5" t="s">
        <v>61</v>
      </c>
      <c r="O417" s="5" t="s">
        <v>34</v>
      </c>
      <c r="P417" s="5" t="str">
        <f>IF(hospital_patient_unclean_500__2[[#This Row],[Age]]&lt;18,"0-17",IF(hospital_patient_unclean_500__2[[#This Row],[Age]]&lt;36,"18-35",IF(hospital_patient_unclean_500__2[[#This Row],[Age]]&lt;51,"36-50",IF(hospital_patient_unclean_500__2[[#This Row],[Age]]&lt;66,"51-65","66+"))))</f>
        <v>36-50</v>
      </c>
    </row>
    <row r="418" spans="1:16" x14ac:dyDescent="0.3">
      <c r="A418" s="5" t="s">
        <v>860</v>
      </c>
      <c r="B418" s="5" t="s">
        <v>207</v>
      </c>
      <c r="C418" s="6">
        <v>82</v>
      </c>
      <c r="D418" s="5" t="s">
        <v>17</v>
      </c>
      <c r="E418" s="5" t="s">
        <v>124</v>
      </c>
      <c r="F418" s="5" t="s">
        <v>53</v>
      </c>
      <c r="G418" s="5" t="s">
        <v>819</v>
      </c>
      <c r="H418" s="7">
        <v>45943</v>
      </c>
      <c r="I418" s="7">
        <v>45956</v>
      </c>
      <c r="J418" s="5" t="s">
        <v>200</v>
      </c>
      <c r="K418" s="5" t="s">
        <v>201</v>
      </c>
      <c r="L418" s="8">
        <v>221457.33</v>
      </c>
      <c r="M418" s="5" t="s">
        <v>40</v>
      </c>
      <c r="N418" s="5" t="s">
        <v>48</v>
      </c>
      <c r="O418" s="5" t="s">
        <v>25</v>
      </c>
      <c r="P418" s="5" t="str">
        <f>IF(hospital_patient_unclean_500__2[[#This Row],[Age]]&lt;18,"0-17",IF(hospital_patient_unclean_500__2[[#This Row],[Age]]&lt;36,"18-35",IF(hospital_patient_unclean_500__2[[#This Row],[Age]]&lt;51,"36-50",IF(hospital_patient_unclean_500__2[[#This Row],[Age]]&lt;66,"51-65","66+"))))</f>
        <v>66+</v>
      </c>
    </row>
    <row r="419" spans="1:16" x14ac:dyDescent="0.3">
      <c r="A419" s="5" t="s">
        <v>725</v>
      </c>
      <c r="B419" s="5" t="s">
        <v>241</v>
      </c>
      <c r="C419" s="6">
        <v>38</v>
      </c>
      <c r="D419" s="5" t="s">
        <v>51</v>
      </c>
      <c r="E419" s="5" t="s">
        <v>68</v>
      </c>
      <c r="F419" s="5" t="s">
        <v>44</v>
      </c>
      <c r="G419" s="5" t="s">
        <v>45</v>
      </c>
      <c r="H419" s="7">
        <v>45877</v>
      </c>
      <c r="I419" s="7">
        <v>45883</v>
      </c>
      <c r="J419" s="5" t="s">
        <v>244</v>
      </c>
      <c r="K419" s="5" t="s">
        <v>280</v>
      </c>
      <c r="L419" s="8">
        <v>144237.31</v>
      </c>
      <c r="M419" s="5" t="s">
        <v>60</v>
      </c>
      <c r="N419" s="5" t="s">
        <v>24</v>
      </c>
      <c r="O419" s="5" t="s">
        <v>93</v>
      </c>
      <c r="P419" s="5" t="str">
        <f>IF(hospital_patient_unclean_500__2[[#This Row],[Age]]&lt;18,"0-17",IF(hospital_patient_unclean_500__2[[#This Row],[Age]]&lt;36,"18-35",IF(hospital_patient_unclean_500__2[[#This Row],[Age]]&lt;51,"36-50",IF(hospital_patient_unclean_500__2[[#This Row],[Age]]&lt;66,"51-65","66+"))))</f>
        <v>36-50</v>
      </c>
    </row>
    <row r="420" spans="1:16" x14ac:dyDescent="0.3">
      <c r="A420" s="5" t="s">
        <v>726</v>
      </c>
      <c r="B420" s="5" t="s">
        <v>499</v>
      </c>
      <c r="C420" s="6">
        <v>17</v>
      </c>
      <c r="D420" s="5" t="s">
        <v>17</v>
      </c>
      <c r="E420" s="5" t="s">
        <v>18</v>
      </c>
      <c r="F420" s="5" t="s">
        <v>132</v>
      </c>
      <c r="G420" s="5" t="s">
        <v>223</v>
      </c>
      <c r="H420" s="7">
        <v>45850</v>
      </c>
      <c r="I420" s="7">
        <v>45850</v>
      </c>
      <c r="J420" s="5" t="s">
        <v>173</v>
      </c>
      <c r="K420" s="5" t="s">
        <v>174</v>
      </c>
      <c r="L420" s="8">
        <v>154474.9</v>
      </c>
      <c r="M420" s="5" t="s">
        <v>99</v>
      </c>
      <c r="N420" s="5" t="s">
        <v>48</v>
      </c>
      <c r="O420" s="5" t="s">
        <v>41</v>
      </c>
      <c r="P420" s="5" t="str">
        <f>IF(hospital_patient_unclean_500__2[[#This Row],[Age]]&lt;18,"0-17",IF(hospital_patient_unclean_500__2[[#This Row],[Age]]&lt;36,"18-35",IF(hospital_patient_unclean_500__2[[#This Row],[Age]]&lt;51,"36-50",IF(hospital_patient_unclean_500__2[[#This Row],[Age]]&lt;66,"51-65","66+"))))</f>
        <v>0-17</v>
      </c>
    </row>
    <row r="421" spans="1:16" x14ac:dyDescent="0.3">
      <c r="A421" s="5" t="s">
        <v>727</v>
      </c>
      <c r="B421" s="5" t="s">
        <v>668</v>
      </c>
      <c r="C421" s="6">
        <v>28</v>
      </c>
      <c r="D421" s="5" t="s">
        <v>51</v>
      </c>
      <c r="E421" s="5" t="s">
        <v>68</v>
      </c>
      <c r="F421" s="5" t="s">
        <v>132</v>
      </c>
      <c r="G421" s="5" t="s">
        <v>138</v>
      </c>
      <c r="H421" s="7">
        <v>45943</v>
      </c>
      <c r="I421" s="7">
        <v>45943</v>
      </c>
      <c r="J421" s="5" t="s">
        <v>173</v>
      </c>
      <c r="K421" s="5" t="s">
        <v>174</v>
      </c>
      <c r="L421" s="8">
        <v>192719.37</v>
      </c>
      <c r="M421" s="5" t="s">
        <v>23</v>
      </c>
      <c r="N421" s="5" t="s">
        <v>61</v>
      </c>
      <c r="O421" s="5" t="s">
        <v>34</v>
      </c>
      <c r="P421" s="5" t="str">
        <f>IF(hospital_patient_unclean_500__2[[#This Row],[Age]]&lt;18,"0-17",IF(hospital_patient_unclean_500__2[[#This Row],[Age]]&lt;36,"18-35",IF(hospital_patient_unclean_500__2[[#This Row],[Age]]&lt;51,"36-50",IF(hospital_patient_unclean_500__2[[#This Row],[Age]]&lt;66,"51-65","66+"))))</f>
        <v>18-35</v>
      </c>
    </row>
    <row r="422" spans="1:16" x14ac:dyDescent="0.3">
      <c r="A422" s="5" t="s">
        <v>728</v>
      </c>
      <c r="B422" s="5" t="s">
        <v>91</v>
      </c>
      <c r="C422" s="6">
        <v>78</v>
      </c>
      <c r="D422" s="5" t="s">
        <v>51</v>
      </c>
      <c r="E422" s="5" t="s">
        <v>819</v>
      </c>
      <c r="F422" s="5" t="s">
        <v>28</v>
      </c>
      <c r="G422" s="5" t="s">
        <v>29</v>
      </c>
      <c r="H422" s="7">
        <v>45773</v>
      </c>
      <c r="I422" s="7">
        <v>45791</v>
      </c>
      <c r="J422" s="5" t="s">
        <v>75</v>
      </c>
      <c r="K422" s="5" t="s">
        <v>76</v>
      </c>
      <c r="L422" s="8">
        <v>0</v>
      </c>
      <c r="M422" s="5" t="s">
        <v>60</v>
      </c>
      <c r="N422" s="5" t="s">
        <v>48</v>
      </c>
      <c r="O422" s="5" t="s">
        <v>820</v>
      </c>
      <c r="P422" s="5" t="str">
        <f>IF(hospital_patient_unclean_500__2[[#This Row],[Age]]&lt;18,"0-17",IF(hospital_patient_unclean_500__2[[#This Row],[Age]]&lt;36,"18-35",IF(hospital_patient_unclean_500__2[[#This Row],[Age]]&lt;51,"36-50",IF(hospital_patient_unclean_500__2[[#This Row],[Age]]&lt;66,"51-65","66+"))))</f>
        <v>66+</v>
      </c>
    </row>
    <row r="423" spans="1:16" x14ac:dyDescent="0.3">
      <c r="A423" s="5" t="s">
        <v>729</v>
      </c>
      <c r="B423" s="5" t="s">
        <v>730</v>
      </c>
      <c r="C423" s="6">
        <v>78</v>
      </c>
      <c r="D423" s="5" t="s">
        <v>17</v>
      </c>
      <c r="E423" s="5" t="s">
        <v>52</v>
      </c>
      <c r="F423" s="5" t="s">
        <v>132</v>
      </c>
      <c r="G423" s="5" t="s">
        <v>223</v>
      </c>
      <c r="H423" s="7">
        <v>45886</v>
      </c>
      <c r="I423" s="7">
        <v>45886</v>
      </c>
      <c r="J423" s="5" t="s">
        <v>173</v>
      </c>
      <c r="K423" s="5" t="s">
        <v>819</v>
      </c>
      <c r="L423" s="8">
        <v>218396.94</v>
      </c>
      <c r="M423" s="5" t="s">
        <v>32</v>
      </c>
      <c r="N423" s="5" t="s">
        <v>61</v>
      </c>
      <c r="O423" s="5" t="s">
        <v>41</v>
      </c>
      <c r="P423" s="5" t="str">
        <f>IF(hospital_patient_unclean_500__2[[#This Row],[Age]]&lt;18,"0-17",IF(hospital_patient_unclean_500__2[[#This Row],[Age]]&lt;36,"18-35",IF(hospital_patient_unclean_500__2[[#This Row],[Age]]&lt;51,"36-50",IF(hospital_patient_unclean_500__2[[#This Row],[Age]]&lt;66,"51-65","66+"))))</f>
        <v>66+</v>
      </c>
    </row>
    <row r="424" spans="1:16" x14ac:dyDescent="0.3">
      <c r="A424" s="5" t="s">
        <v>731</v>
      </c>
      <c r="B424" s="5" t="s">
        <v>451</v>
      </c>
      <c r="C424" s="6">
        <v>86</v>
      </c>
      <c r="D424" s="5" t="s">
        <v>17</v>
      </c>
      <c r="E424" s="5" t="s">
        <v>43</v>
      </c>
      <c r="F424" s="5" t="s">
        <v>819</v>
      </c>
      <c r="G424" s="5" t="s">
        <v>88</v>
      </c>
      <c r="H424" s="7">
        <v>45899</v>
      </c>
      <c r="I424" s="7">
        <v>45911</v>
      </c>
      <c r="J424" s="5" t="s">
        <v>89</v>
      </c>
      <c r="K424" s="5" t="s">
        <v>92</v>
      </c>
      <c r="L424" s="8">
        <v>47767.94</v>
      </c>
      <c r="M424" s="5" t="s">
        <v>40</v>
      </c>
      <c r="N424" s="5" t="s">
        <v>24</v>
      </c>
      <c r="O424" s="5" t="s">
        <v>93</v>
      </c>
      <c r="P424" s="5" t="str">
        <f>IF(hospital_patient_unclean_500__2[[#This Row],[Age]]&lt;18,"0-17",IF(hospital_patient_unclean_500__2[[#This Row],[Age]]&lt;36,"18-35",IF(hospital_patient_unclean_500__2[[#This Row],[Age]]&lt;51,"36-50",IF(hospital_patient_unclean_500__2[[#This Row],[Age]]&lt;66,"51-65","66+"))))</f>
        <v>66+</v>
      </c>
    </row>
    <row r="425" spans="1:16" x14ac:dyDescent="0.3">
      <c r="A425" s="5" t="s">
        <v>732</v>
      </c>
      <c r="B425" s="5" t="s">
        <v>415</v>
      </c>
      <c r="C425" s="6">
        <v>78</v>
      </c>
      <c r="D425" s="5" t="s">
        <v>51</v>
      </c>
      <c r="E425" s="5" t="s">
        <v>86</v>
      </c>
      <c r="F425" s="5" t="s">
        <v>38</v>
      </c>
      <c r="G425" s="5" t="s">
        <v>167</v>
      </c>
      <c r="H425" s="7">
        <v>45745</v>
      </c>
      <c r="I425" s="7">
        <v>45751</v>
      </c>
      <c r="J425" s="5" t="s">
        <v>184</v>
      </c>
      <c r="K425" s="5" t="s">
        <v>59</v>
      </c>
      <c r="L425" s="8">
        <v>42917.919999999998</v>
      </c>
      <c r="M425" s="5" t="s">
        <v>99</v>
      </c>
      <c r="N425" s="5" t="s">
        <v>61</v>
      </c>
      <c r="O425" s="5" t="s">
        <v>820</v>
      </c>
      <c r="P425" s="5" t="str">
        <f>IF(hospital_patient_unclean_500__2[[#This Row],[Age]]&lt;18,"0-17",IF(hospital_patient_unclean_500__2[[#This Row],[Age]]&lt;36,"18-35",IF(hospital_patient_unclean_500__2[[#This Row],[Age]]&lt;51,"36-50",IF(hospital_patient_unclean_500__2[[#This Row],[Age]]&lt;66,"51-65","66+"))))</f>
        <v>66+</v>
      </c>
    </row>
    <row r="426" spans="1:16" x14ac:dyDescent="0.3">
      <c r="A426" s="5" t="s">
        <v>733</v>
      </c>
      <c r="B426" s="5" t="s">
        <v>307</v>
      </c>
      <c r="C426" s="6">
        <v>57</v>
      </c>
      <c r="D426" s="5" t="s">
        <v>17</v>
      </c>
      <c r="E426" s="5" t="s">
        <v>64</v>
      </c>
      <c r="F426" s="5" t="s">
        <v>132</v>
      </c>
      <c r="G426" s="5" t="s">
        <v>138</v>
      </c>
      <c r="H426" s="7">
        <v>45675</v>
      </c>
      <c r="I426" s="7">
        <v>45690</v>
      </c>
      <c r="J426" s="5" t="s">
        <v>134</v>
      </c>
      <c r="K426" s="5" t="s">
        <v>135</v>
      </c>
      <c r="L426" s="8">
        <v>276405.78000000003</v>
      </c>
      <c r="M426" s="5" t="s">
        <v>32</v>
      </c>
      <c r="N426" s="5" t="s">
        <v>819</v>
      </c>
      <c r="O426" s="5" t="s">
        <v>34</v>
      </c>
      <c r="P426" s="5" t="str">
        <f>IF(hospital_patient_unclean_500__2[[#This Row],[Age]]&lt;18,"0-17",IF(hospital_patient_unclean_500__2[[#This Row],[Age]]&lt;36,"18-35",IF(hospital_patient_unclean_500__2[[#This Row],[Age]]&lt;51,"36-50",IF(hospital_patient_unclean_500__2[[#This Row],[Age]]&lt;66,"51-65","66+"))))</f>
        <v>51-65</v>
      </c>
    </row>
    <row r="427" spans="1:16" x14ac:dyDescent="0.3">
      <c r="A427" s="5" t="s">
        <v>734</v>
      </c>
      <c r="B427" s="5" t="s">
        <v>627</v>
      </c>
      <c r="C427" s="6">
        <v>32</v>
      </c>
      <c r="D427" s="5" t="s">
        <v>51</v>
      </c>
      <c r="E427" s="5" t="s">
        <v>68</v>
      </c>
      <c r="F427" s="5" t="s">
        <v>53</v>
      </c>
      <c r="G427" s="5" t="s">
        <v>143</v>
      </c>
      <c r="H427" s="7">
        <v>45903</v>
      </c>
      <c r="I427" s="7">
        <v>45908</v>
      </c>
      <c r="J427" s="5" t="s">
        <v>107</v>
      </c>
      <c r="K427" s="5" t="s">
        <v>108</v>
      </c>
      <c r="L427" s="8">
        <v>270242.33</v>
      </c>
      <c r="M427" s="5" t="s">
        <v>99</v>
      </c>
      <c r="N427" s="5" t="s">
        <v>33</v>
      </c>
      <c r="O427" s="5" t="s">
        <v>820</v>
      </c>
      <c r="P427" s="5" t="str">
        <f>IF(hospital_patient_unclean_500__2[[#This Row],[Age]]&lt;18,"0-17",IF(hospital_patient_unclean_500__2[[#This Row],[Age]]&lt;36,"18-35",IF(hospital_patient_unclean_500__2[[#This Row],[Age]]&lt;51,"36-50",IF(hospital_patient_unclean_500__2[[#This Row],[Age]]&lt;66,"51-65","66+"))))</f>
        <v>18-35</v>
      </c>
    </row>
    <row r="428" spans="1:16" x14ac:dyDescent="0.3">
      <c r="A428" s="5" t="s">
        <v>735</v>
      </c>
      <c r="B428" s="5" t="s">
        <v>736</v>
      </c>
      <c r="C428" s="6">
        <v>83</v>
      </c>
      <c r="D428" s="5" t="s">
        <v>17</v>
      </c>
      <c r="E428" s="5" t="s">
        <v>64</v>
      </c>
      <c r="F428" s="5" t="s">
        <v>44</v>
      </c>
      <c r="G428" s="5" t="s">
        <v>153</v>
      </c>
      <c r="H428" s="7">
        <v>45933</v>
      </c>
      <c r="I428" s="7">
        <v>45945</v>
      </c>
      <c r="J428" s="5" t="s">
        <v>232</v>
      </c>
      <c r="K428" s="5" t="s">
        <v>160</v>
      </c>
      <c r="L428" s="8">
        <v>243996.75</v>
      </c>
      <c r="M428" s="5" t="s">
        <v>819</v>
      </c>
      <c r="N428" s="5" t="s">
        <v>61</v>
      </c>
      <c r="O428" s="5" t="s">
        <v>820</v>
      </c>
      <c r="P428" s="5" t="str">
        <f>IF(hospital_patient_unclean_500__2[[#This Row],[Age]]&lt;18,"0-17",IF(hospital_patient_unclean_500__2[[#This Row],[Age]]&lt;36,"18-35",IF(hospital_patient_unclean_500__2[[#This Row],[Age]]&lt;51,"36-50",IF(hospital_patient_unclean_500__2[[#This Row],[Age]]&lt;66,"51-65","66+"))))</f>
        <v>66+</v>
      </c>
    </row>
    <row r="429" spans="1:16" x14ac:dyDescent="0.3">
      <c r="A429" s="5" t="s">
        <v>861</v>
      </c>
      <c r="B429" s="5" t="s">
        <v>819</v>
      </c>
      <c r="C429" s="6">
        <v>21</v>
      </c>
      <c r="D429" s="5" t="s">
        <v>17</v>
      </c>
      <c r="E429" s="5" t="s">
        <v>86</v>
      </c>
      <c r="F429" s="5" t="s">
        <v>132</v>
      </c>
      <c r="G429" s="5" t="s">
        <v>138</v>
      </c>
      <c r="H429" s="7">
        <v>45698</v>
      </c>
      <c r="I429" s="7">
        <v>45926</v>
      </c>
      <c r="J429" s="5" t="s">
        <v>173</v>
      </c>
      <c r="K429" s="5" t="s">
        <v>174</v>
      </c>
      <c r="L429" s="8">
        <v>27887.200000000001</v>
      </c>
      <c r="M429" s="5" t="s">
        <v>819</v>
      </c>
      <c r="N429" s="5" t="s">
        <v>33</v>
      </c>
      <c r="O429" s="5" t="s">
        <v>41</v>
      </c>
      <c r="P429" s="5" t="str">
        <f>IF(hospital_patient_unclean_500__2[[#This Row],[Age]]&lt;18,"0-17",IF(hospital_patient_unclean_500__2[[#This Row],[Age]]&lt;36,"18-35",IF(hospital_patient_unclean_500__2[[#This Row],[Age]]&lt;51,"36-50",IF(hospital_patient_unclean_500__2[[#This Row],[Age]]&lt;66,"51-65","66+"))))</f>
        <v>18-35</v>
      </c>
    </row>
    <row r="430" spans="1:16" x14ac:dyDescent="0.3">
      <c r="A430" s="5" t="s">
        <v>737</v>
      </c>
      <c r="B430" s="5" t="s">
        <v>738</v>
      </c>
      <c r="C430" s="6">
        <v>48</v>
      </c>
      <c r="D430" s="5" t="s">
        <v>17</v>
      </c>
      <c r="E430" s="5" t="s">
        <v>111</v>
      </c>
      <c r="F430" s="5" t="s">
        <v>28</v>
      </c>
      <c r="G430" s="5" t="s">
        <v>195</v>
      </c>
      <c r="H430" s="7">
        <v>45892</v>
      </c>
      <c r="I430" s="7">
        <v>45906</v>
      </c>
      <c r="J430" s="5" t="s">
        <v>30</v>
      </c>
      <c r="K430" s="5" t="s">
        <v>31</v>
      </c>
      <c r="L430" s="8">
        <v>94685.56</v>
      </c>
      <c r="M430" s="5" t="s">
        <v>47</v>
      </c>
      <c r="N430" s="5" t="s">
        <v>48</v>
      </c>
      <c r="O430" s="5" t="s">
        <v>820</v>
      </c>
      <c r="P430" s="5" t="str">
        <f>IF(hospital_patient_unclean_500__2[[#This Row],[Age]]&lt;18,"0-17",IF(hospital_patient_unclean_500__2[[#This Row],[Age]]&lt;36,"18-35",IF(hospital_patient_unclean_500__2[[#This Row],[Age]]&lt;51,"36-50",IF(hospital_patient_unclean_500__2[[#This Row],[Age]]&lt;66,"51-65","66+"))))</f>
        <v>36-50</v>
      </c>
    </row>
    <row r="431" spans="1:16" x14ac:dyDescent="0.3">
      <c r="A431" s="5" t="s">
        <v>739</v>
      </c>
      <c r="B431" s="5" t="s">
        <v>668</v>
      </c>
      <c r="C431" s="6">
        <v>28</v>
      </c>
      <c r="D431" s="5" t="s">
        <v>51</v>
      </c>
      <c r="E431" s="5" t="s">
        <v>86</v>
      </c>
      <c r="F431" s="5" t="s">
        <v>19</v>
      </c>
      <c r="G431" s="5" t="s">
        <v>158</v>
      </c>
      <c r="H431" s="7">
        <v>45718</v>
      </c>
      <c r="I431" s="7">
        <v>45721</v>
      </c>
      <c r="J431" s="5" t="s">
        <v>21</v>
      </c>
      <c r="K431" s="5" t="s">
        <v>22</v>
      </c>
      <c r="L431" s="8">
        <v>297160.62</v>
      </c>
      <c r="M431" s="5" t="s">
        <v>32</v>
      </c>
      <c r="N431" s="5" t="s">
        <v>33</v>
      </c>
      <c r="O431" s="5" t="s">
        <v>41</v>
      </c>
      <c r="P431" s="5" t="str">
        <f>IF(hospital_patient_unclean_500__2[[#This Row],[Age]]&lt;18,"0-17",IF(hospital_patient_unclean_500__2[[#This Row],[Age]]&lt;36,"18-35",IF(hospital_patient_unclean_500__2[[#This Row],[Age]]&lt;51,"36-50",IF(hospital_patient_unclean_500__2[[#This Row],[Age]]&lt;66,"51-65","66+"))))</f>
        <v>18-35</v>
      </c>
    </row>
    <row r="432" spans="1:16" x14ac:dyDescent="0.3">
      <c r="A432" s="5" t="s">
        <v>740</v>
      </c>
      <c r="B432" s="5" t="s">
        <v>524</v>
      </c>
      <c r="C432" s="6">
        <v>2</v>
      </c>
      <c r="D432" s="5" t="s">
        <v>17</v>
      </c>
      <c r="E432" s="5" t="s">
        <v>86</v>
      </c>
      <c r="F432" s="5" t="s">
        <v>819</v>
      </c>
      <c r="G432" s="5" t="s">
        <v>138</v>
      </c>
      <c r="H432" s="7">
        <v>45866</v>
      </c>
      <c r="I432" s="7">
        <v>45881</v>
      </c>
      <c r="J432" s="5" t="s">
        <v>134</v>
      </c>
      <c r="K432" s="5" t="s">
        <v>135</v>
      </c>
      <c r="L432" s="8">
        <v>226360.94</v>
      </c>
      <c r="M432" s="5" t="s">
        <v>47</v>
      </c>
      <c r="N432" s="5" t="s">
        <v>65</v>
      </c>
      <c r="O432" s="5" t="s">
        <v>93</v>
      </c>
      <c r="P432" s="5" t="str">
        <f>IF(hospital_patient_unclean_500__2[[#This Row],[Age]]&lt;18,"0-17",IF(hospital_patient_unclean_500__2[[#This Row],[Age]]&lt;36,"18-35",IF(hospital_patient_unclean_500__2[[#This Row],[Age]]&lt;51,"36-50",IF(hospital_patient_unclean_500__2[[#This Row],[Age]]&lt;66,"51-65","66+"))))</f>
        <v>0-17</v>
      </c>
    </row>
    <row r="433" spans="1:16" x14ac:dyDescent="0.3">
      <c r="A433" s="5" t="s">
        <v>741</v>
      </c>
      <c r="B433" s="5" t="s">
        <v>659</v>
      </c>
      <c r="C433" s="6">
        <v>19</v>
      </c>
      <c r="D433" s="5" t="s">
        <v>17</v>
      </c>
      <c r="E433" s="5" t="s">
        <v>86</v>
      </c>
      <c r="F433" s="5" t="s">
        <v>28</v>
      </c>
      <c r="G433" s="5" t="s">
        <v>29</v>
      </c>
      <c r="H433" s="7">
        <v>45970</v>
      </c>
      <c r="I433" s="7">
        <v>45970</v>
      </c>
      <c r="J433" s="5" t="s">
        <v>102</v>
      </c>
      <c r="K433" s="5" t="s">
        <v>103</v>
      </c>
      <c r="L433" s="8">
        <v>67171.45</v>
      </c>
      <c r="M433" s="5" t="s">
        <v>23</v>
      </c>
      <c r="N433" s="5" t="s">
        <v>61</v>
      </c>
      <c r="O433" s="5" t="s">
        <v>41</v>
      </c>
      <c r="P433" s="5" t="str">
        <f>IF(hospital_patient_unclean_500__2[[#This Row],[Age]]&lt;18,"0-17",IF(hospital_patient_unclean_500__2[[#This Row],[Age]]&lt;36,"18-35",IF(hospital_patient_unclean_500__2[[#This Row],[Age]]&lt;51,"36-50",IF(hospital_patient_unclean_500__2[[#This Row],[Age]]&lt;66,"51-65","66+"))))</f>
        <v>18-35</v>
      </c>
    </row>
    <row r="434" spans="1:16" x14ac:dyDescent="0.3">
      <c r="A434" s="5" t="s">
        <v>742</v>
      </c>
      <c r="B434" s="5" t="s">
        <v>462</v>
      </c>
      <c r="C434" s="6">
        <v>6</v>
      </c>
      <c r="D434" s="5" t="s">
        <v>17</v>
      </c>
      <c r="E434" s="5" t="s">
        <v>64</v>
      </c>
      <c r="F434" s="5" t="s">
        <v>19</v>
      </c>
      <c r="G434" s="5" t="s">
        <v>158</v>
      </c>
      <c r="H434" s="7">
        <v>45831</v>
      </c>
      <c r="I434" s="7">
        <v>45837</v>
      </c>
      <c r="J434" s="5" t="s">
        <v>120</v>
      </c>
      <c r="K434" s="5" t="s">
        <v>121</v>
      </c>
      <c r="L434" s="8">
        <v>269392.61</v>
      </c>
      <c r="M434" s="5" t="s">
        <v>47</v>
      </c>
      <c r="N434" s="5" t="s">
        <v>24</v>
      </c>
      <c r="O434" s="5" t="s">
        <v>820</v>
      </c>
      <c r="P434" s="5" t="str">
        <f>IF(hospital_patient_unclean_500__2[[#This Row],[Age]]&lt;18,"0-17",IF(hospital_patient_unclean_500__2[[#This Row],[Age]]&lt;36,"18-35",IF(hospital_patient_unclean_500__2[[#This Row],[Age]]&lt;51,"36-50",IF(hospital_patient_unclean_500__2[[#This Row],[Age]]&lt;66,"51-65","66+"))))</f>
        <v>0-17</v>
      </c>
    </row>
    <row r="435" spans="1:16" x14ac:dyDescent="0.3">
      <c r="A435" s="5" t="s">
        <v>862</v>
      </c>
      <c r="B435" s="5" t="s">
        <v>317</v>
      </c>
      <c r="C435" s="6">
        <v>19</v>
      </c>
      <c r="D435" s="5" t="s">
        <v>17</v>
      </c>
      <c r="E435" s="5" t="s">
        <v>111</v>
      </c>
      <c r="F435" s="5" t="s">
        <v>132</v>
      </c>
      <c r="G435" s="5" t="s">
        <v>133</v>
      </c>
      <c r="H435" s="7">
        <v>45973</v>
      </c>
      <c r="I435" s="7">
        <v>45977</v>
      </c>
      <c r="J435" s="5" t="s">
        <v>147</v>
      </c>
      <c r="K435" s="5" t="s">
        <v>148</v>
      </c>
      <c r="L435" s="8">
        <v>58427.63</v>
      </c>
      <c r="M435" s="5" t="s">
        <v>60</v>
      </c>
      <c r="N435" s="5" t="s">
        <v>61</v>
      </c>
      <c r="O435" s="5" t="s">
        <v>25</v>
      </c>
      <c r="P435" s="5" t="str">
        <f>IF(hospital_patient_unclean_500__2[[#This Row],[Age]]&lt;18,"0-17",IF(hospital_patient_unclean_500__2[[#This Row],[Age]]&lt;36,"18-35",IF(hospital_patient_unclean_500__2[[#This Row],[Age]]&lt;51,"36-50",IF(hospital_patient_unclean_500__2[[#This Row],[Age]]&lt;66,"51-65","66+"))))</f>
        <v>18-35</v>
      </c>
    </row>
    <row r="436" spans="1:16" x14ac:dyDescent="0.3">
      <c r="A436" s="5" t="s">
        <v>743</v>
      </c>
      <c r="B436" s="5" t="s">
        <v>744</v>
      </c>
      <c r="C436" s="6">
        <v>82</v>
      </c>
      <c r="D436" s="5" t="s">
        <v>17</v>
      </c>
      <c r="E436" s="5" t="s">
        <v>64</v>
      </c>
      <c r="F436" s="5" t="s">
        <v>44</v>
      </c>
      <c r="G436" s="5" t="s">
        <v>819</v>
      </c>
      <c r="H436" s="7">
        <v>46000</v>
      </c>
      <c r="I436" s="7">
        <v>46008</v>
      </c>
      <c r="J436" s="5" t="s">
        <v>232</v>
      </c>
      <c r="K436" s="5" t="s">
        <v>160</v>
      </c>
      <c r="L436" s="8">
        <v>231726.06</v>
      </c>
      <c r="M436" s="5" t="s">
        <v>32</v>
      </c>
      <c r="N436" s="5" t="s">
        <v>61</v>
      </c>
      <c r="O436" s="5" t="s">
        <v>820</v>
      </c>
      <c r="P436" s="5" t="str">
        <f>IF(hospital_patient_unclean_500__2[[#This Row],[Age]]&lt;18,"0-17",IF(hospital_patient_unclean_500__2[[#This Row],[Age]]&lt;36,"18-35",IF(hospital_patient_unclean_500__2[[#This Row],[Age]]&lt;51,"36-50",IF(hospital_patient_unclean_500__2[[#This Row],[Age]]&lt;66,"51-65","66+"))))</f>
        <v>66+</v>
      </c>
    </row>
    <row r="437" spans="1:16" x14ac:dyDescent="0.3">
      <c r="A437" s="5" t="s">
        <v>745</v>
      </c>
      <c r="B437" s="5" t="s">
        <v>708</v>
      </c>
      <c r="C437" s="6">
        <v>8</v>
      </c>
      <c r="D437" s="5" t="s">
        <v>17</v>
      </c>
      <c r="E437" s="5" t="s">
        <v>68</v>
      </c>
      <c r="F437" s="5" t="s">
        <v>38</v>
      </c>
      <c r="G437" s="5" t="s">
        <v>125</v>
      </c>
      <c r="H437" s="7">
        <v>45746</v>
      </c>
      <c r="I437" s="7">
        <v>45762</v>
      </c>
      <c r="J437" s="5" t="s">
        <v>97</v>
      </c>
      <c r="K437" s="5" t="s">
        <v>98</v>
      </c>
      <c r="L437" s="8">
        <v>0</v>
      </c>
      <c r="M437" s="5" t="s">
        <v>72</v>
      </c>
      <c r="N437" s="5" t="s">
        <v>33</v>
      </c>
      <c r="O437" s="5" t="s">
        <v>25</v>
      </c>
      <c r="P437" s="5" t="str">
        <f>IF(hospital_patient_unclean_500__2[[#This Row],[Age]]&lt;18,"0-17",IF(hospital_patient_unclean_500__2[[#This Row],[Age]]&lt;36,"18-35",IF(hospital_patient_unclean_500__2[[#This Row],[Age]]&lt;51,"36-50",IF(hospital_patient_unclean_500__2[[#This Row],[Age]]&lt;66,"51-65","66+"))))</f>
        <v>0-17</v>
      </c>
    </row>
    <row r="438" spans="1:16" x14ac:dyDescent="0.3">
      <c r="A438" s="5" t="s">
        <v>746</v>
      </c>
      <c r="B438" s="5" t="s">
        <v>159</v>
      </c>
      <c r="C438" s="6">
        <v>17</v>
      </c>
      <c r="D438" s="5" t="s">
        <v>17</v>
      </c>
      <c r="E438" s="5" t="s">
        <v>37</v>
      </c>
      <c r="F438" s="5" t="s">
        <v>28</v>
      </c>
      <c r="G438" s="5" t="s">
        <v>101</v>
      </c>
      <c r="H438" s="7">
        <v>45929</v>
      </c>
      <c r="I438" s="7">
        <v>45933</v>
      </c>
      <c r="J438" s="5" t="s">
        <v>819</v>
      </c>
      <c r="K438" s="5" t="s">
        <v>835</v>
      </c>
      <c r="L438" s="8">
        <v>192719.37</v>
      </c>
      <c r="M438" s="5" t="s">
        <v>72</v>
      </c>
      <c r="N438" s="5" t="s">
        <v>33</v>
      </c>
      <c r="O438" s="5" t="s">
        <v>93</v>
      </c>
      <c r="P438" s="5" t="str">
        <f>IF(hospital_patient_unclean_500__2[[#This Row],[Age]]&lt;18,"0-17",IF(hospital_patient_unclean_500__2[[#This Row],[Age]]&lt;36,"18-35",IF(hospital_patient_unclean_500__2[[#This Row],[Age]]&lt;51,"36-50",IF(hospital_patient_unclean_500__2[[#This Row],[Age]]&lt;66,"51-65","66+"))))</f>
        <v>0-17</v>
      </c>
    </row>
    <row r="439" spans="1:16" x14ac:dyDescent="0.3">
      <c r="A439" s="5" t="s">
        <v>747</v>
      </c>
      <c r="B439" s="5" t="s">
        <v>356</v>
      </c>
      <c r="C439" s="6">
        <v>12</v>
      </c>
      <c r="D439" s="5" t="s">
        <v>51</v>
      </c>
      <c r="E439" s="5" t="s">
        <v>52</v>
      </c>
      <c r="F439" s="5" t="s">
        <v>87</v>
      </c>
      <c r="G439" s="5" t="s">
        <v>112</v>
      </c>
      <c r="H439" s="7">
        <v>45892</v>
      </c>
      <c r="I439" s="7">
        <v>45892</v>
      </c>
      <c r="J439" s="5" t="s">
        <v>89</v>
      </c>
      <c r="K439" s="5" t="s">
        <v>92</v>
      </c>
      <c r="L439" s="8">
        <v>330944.7</v>
      </c>
      <c r="M439" s="5" t="s">
        <v>99</v>
      </c>
      <c r="N439" s="5" t="s">
        <v>48</v>
      </c>
      <c r="O439" s="5" t="s">
        <v>34</v>
      </c>
      <c r="P439" s="5" t="str">
        <f>IF(hospital_patient_unclean_500__2[[#This Row],[Age]]&lt;18,"0-17",IF(hospital_patient_unclean_500__2[[#This Row],[Age]]&lt;36,"18-35",IF(hospital_patient_unclean_500__2[[#This Row],[Age]]&lt;51,"36-50",IF(hospital_patient_unclean_500__2[[#This Row],[Age]]&lt;66,"51-65","66+"))))</f>
        <v>0-17</v>
      </c>
    </row>
    <row r="440" spans="1:16" x14ac:dyDescent="0.3">
      <c r="A440" s="5" t="s">
        <v>748</v>
      </c>
      <c r="B440" s="5" t="s">
        <v>298</v>
      </c>
      <c r="C440" s="6">
        <v>52</v>
      </c>
      <c r="D440" s="5" t="s">
        <v>17</v>
      </c>
      <c r="E440" s="5" t="s">
        <v>37</v>
      </c>
      <c r="F440" s="5" t="s">
        <v>19</v>
      </c>
      <c r="G440" s="5" t="s">
        <v>158</v>
      </c>
      <c r="H440" s="7">
        <v>45855</v>
      </c>
      <c r="I440" s="7">
        <v>45862</v>
      </c>
      <c r="J440" s="5" t="s">
        <v>267</v>
      </c>
      <c r="K440" s="5" t="s">
        <v>268</v>
      </c>
      <c r="L440" s="8">
        <v>81737.710000000006</v>
      </c>
      <c r="M440" s="5" t="s">
        <v>47</v>
      </c>
      <c r="N440" s="5" t="s">
        <v>61</v>
      </c>
      <c r="O440" s="5" t="s">
        <v>25</v>
      </c>
      <c r="P440" s="5" t="str">
        <f>IF(hospital_patient_unclean_500__2[[#This Row],[Age]]&lt;18,"0-17",IF(hospital_patient_unclean_500__2[[#This Row],[Age]]&lt;36,"18-35",IF(hospital_patient_unclean_500__2[[#This Row],[Age]]&lt;51,"36-50",IF(hospital_patient_unclean_500__2[[#This Row],[Age]]&lt;66,"51-65","66+"))))</f>
        <v>51-65</v>
      </c>
    </row>
    <row r="441" spans="1:16" x14ac:dyDescent="0.3">
      <c r="A441" s="5" t="s">
        <v>749</v>
      </c>
      <c r="B441" s="5" t="s">
        <v>234</v>
      </c>
      <c r="C441" s="6">
        <v>52</v>
      </c>
      <c r="D441" s="5" t="s">
        <v>51</v>
      </c>
      <c r="E441" s="5" t="s">
        <v>43</v>
      </c>
      <c r="F441" s="5" t="s">
        <v>28</v>
      </c>
      <c r="G441" s="5" t="s">
        <v>29</v>
      </c>
      <c r="H441" s="7">
        <v>45826</v>
      </c>
      <c r="I441" s="7">
        <v>45827</v>
      </c>
      <c r="J441" s="5" t="s">
        <v>30</v>
      </c>
      <c r="K441" s="5" t="s">
        <v>31</v>
      </c>
      <c r="L441" s="8">
        <v>15338.44</v>
      </c>
      <c r="M441" s="5" t="s">
        <v>72</v>
      </c>
      <c r="N441" s="5" t="s">
        <v>33</v>
      </c>
      <c r="O441" s="5" t="s">
        <v>93</v>
      </c>
      <c r="P441" s="5" t="str">
        <f>IF(hospital_patient_unclean_500__2[[#This Row],[Age]]&lt;18,"0-17",IF(hospital_patient_unclean_500__2[[#This Row],[Age]]&lt;36,"18-35",IF(hospital_patient_unclean_500__2[[#This Row],[Age]]&lt;51,"36-50",IF(hospital_patient_unclean_500__2[[#This Row],[Age]]&lt;66,"51-65","66+"))))</f>
        <v>51-65</v>
      </c>
    </row>
    <row r="442" spans="1:16" x14ac:dyDescent="0.3">
      <c r="A442" s="5" t="s">
        <v>750</v>
      </c>
      <c r="B442" s="5" t="s">
        <v>266</v>
      </c>
      <c r="C442" s="6">
        <v>73</v>
      </c>
      <c r="D442" s="5" t="s">
        <v>51</v>
      </c>
      <c r="E442" s="5" t="s">
        <v>111</v>
      </c>
      <c r="F442" s="5" t="s">
        <v>28</v>
      </c>
      <c r="G442" s="5" t="s">
        <v>29</v>
      </c>
      <c r="H442" s="7">
        <v>45696</v>
      </c>
      <c r="I442" s="7">
        <v>45709</v>
      </c>
      <c r="J442" s="5" t="s">
        <v>189</v>
      </c>
      <c r="K442" s="5" t="s">
        <v>835</v>
      </c>
      <c r="L442" s="8">
        <v>301563.46000000002</v>
      </c>
      <c r="M442" s="5" t="s">
        <v>47</v>
      </c>
      <c r="N442" s="5" t="s">
        <v>33</v>
      </c>
      <c r="O442" s="5" t="s">
        <v>25</v>
      </c>
      <c r="P442" s="5" t="str">
        <f>IF(hospital_patient_unclean_500__2[[#This Row],[Age]]&lt;18,"0-17",IF(hospital_patient_unclean_500__2[[#This Row],[Age]]&lt;36,"18-35",IF(hospital_patient_unclean_500__2[[#This Row],[Age]]&lt;51,"36-50",IF(hospital_patient_unclean_500__2[[#This Row],[Age]]&lt;66,"51-65","66+"))))</f>
        <v>66+</v>
      </c>
    </row>
    <row r="443" spans="1:16" x14ac:dyDescent="0.3">
      <c r="A443" s="5" t="s">
        <v>751</v>
      </c>
      <c r="B443" s="5" t="s">
        <v>191</v>
      </c>
      <c r="C443" s="6">
        <v>38</v>
      </c>
      <c r="D443" s="5" t="s">
        <v>51</v>
      </c>
      <c r="E443" s="5" t="s">
        <v>819</v>
      </c>
      <c r="F443" s="5" t="s">
        <v>87</v>
      </c>
      <c r="G443" s="5" t="s">
        <v>112</v>
      </c>
      <c r="H443" s="7">
        <v>45933</v>
      </c>
      <c r="I443" s="7">
        <v>45946</v>
      </c>
      <c r="J443" s="5" t="s">
        <v>192</v>
      </c>
      <c r="K443" s="5" t="s">
        <v>193</v>
      </c>
      <c r="L443" s="8">
        <v>266848.95</v>
      </c>
      <c r="M443" s="5" t="s">
        <v>99</v>
      </c>
      <c r="N443" s="5" t="s">
        <v>48</v>
      </c>
      <c r="O443" s="5" t="s">
        <v>34</v>
      </c>
      <c r="P443" s="5" t="str">
        <f>IF(hospital_patient_unclean_500__2[[#This Row],[Age]]&lt;18,"0-17",IF(hospital_patient_unclean_500__2[[#This Row],[Age]]&lt;36,"18-35",IF(hospital_patient_unclean_500__2[[#This Row],[Age]]&lt;51,"36-50",IF(hospital_patient_unclean_500__2[[#This Row],[Age]]&lt;66,"51-65","66+"))))</f>
        <v>36-50</v>
      </c>
    </row>
    <row r="444" spans="1:16" x14ac:dyDescent="0.3">
      <c r="A444" s="5" t="s">
        <v>863</v>
      </c>
      <c r="B444" s="5" t="s">
        <v>736</v>
      </c>
      <c r="C444" s="6">
        <v>44</v>
      </c>
      <c r="D444" s="5" t="s">
        <v>17</v>
      </c>
      <c r="E444" s="5" t="s">
        <v>84</v>
      </c>
      <c r="F444" s="5" t="s">
        <v>87</v>
      </c>
      <c r="G444" s="5" t="s">
        <v>324</v>
      </c>
      <c r="H444" s="7">
        <v>45883</v>
      </c>
      <c r="I444" s="7">
        <v>45949</v>
      </c>
      <c r="J444" s="5" t="s">
        <v>171</v>
      </c>
      <c r="K444" s="5" t="s">
        <v>113</v>
      </c>
      <c r="L444" s="8">
        <v>192719.37</v>
      </c>
      <c r="M444" s="5" t="s">
        <v>32</v>
      </c>
      <c r="N444" s="5" t="s">
        <v>61</v>
      </c>
      <c r="O444" s="5" t="s">
        <v>41</v>
      </c>
      <c r="P444" s="5" t="str">
        <f>IF(hospital_patient_unclean_500__2[[#This Row],[Age]]&lt;18,"0-17",IF(hospital_patient_unclean_500__2[[#This Row],[Age]]&lt;36,"18-35",IF(hospital_patient_unclean_500__2[[#This Row],[Age]]&lt;51,"36-50",IF(hospital_patient_unclean_500__2[[#This Row],[Age]]&lt;66,"51-65","66+"))))</f>
        <v>36-50</v>
      </c>
    </row>
    <row r="445" spans="1:16" x14ac:dyDescent="0.3">
      <c r="A445" s="5" t="s">
        <v>752</v>
      </c>
      <c r="B445" s="5" t="s">
        <v>16</v>
      </c>
      <c r="C445" s="6">
        <v>85</v>
      </c>
      <c r="D445" s="5" t="s">
        <v>17</v>
      </c>
      <c r="E445" s="5" t="s">
        <v>64</v>
      </c>
      <c r="F445" s="5" t="s">
        <v>44</v>
      </c>
      <c r="G445" s="5" t="s">
        <v>221</v>
      </c>
      <c r="H445" s="7">
        <v>45833</v>
      </c>
      <c r="I445" s="7">
        <v>45950</v>
      </c>
      <c r="J445" s="5" t="s">
        <v>232</v>
      </c>
      <c r="K445" s="5" t="s">
        <v>160</v>
      </c>
      <c r="L445" s="8">
        <v>61183.79</v>
      </c>
      <c r="M445" s="5" t="s">
        <v>72</v>
      </c>
      <c r="N445" s="5" t="s">
        <v>61</v>
      </c>
      <c r="O445" s="5" t="s">
        <v>41</v>
      </c>
      <c r="P445" s="5" t="str">
        <f>IF(hospital_patient_unclean_500__2[[#This Row],[Age]]&lt;18,"0-17",IF(hospital_patient_unclean_500__2[[#This Row],[Age]]&lt;36,"18-35",IF(hospital_patient_unclean_500__2[[#This Row],[Age]]&lt;51,"36-50",IF(hospital_patient_unclean_500__2[[#This Row],[Age]]&lt;66,"51-65","66+"))))</f>
        <v>66+</v>
      </c>
    </row>
    <row r="446" spans="1:16" x14ac:dyDescent="0.3">
      <c r="A446" s="5" t="s">
        <v>753</v>
      </c>
      <c r="B446" s="5" t="s">
        <v>63</v>
      </c>
      <c r="C446" s="6">
        <v>62</v>
      </c>
      <c r="D446" s="5" t="s">
        <v>17</v>
      </c>
      <c r="E446" s="5" t="s">
        <v>124</v>
      </c>
      <c r="F446" s="5" t="s">
        <v>53</v>
      </c>
      <c r="G446" s="5" t="s">
        <v>143</v>
      </c>
      <c r="H446" s="7">
        <v>45896</v>
      </c>
      <c r="I446" s="7">
        <v>45951</v>
      </c>
      <c r="J446" s="5" t="s">
        <v>819</v>
      </c>
      <c r="K446" s="5" t="s">
        <v>56</v>
      </c>
      <c r="L446" s="8">
        <v>257045.17</v>
      </c>
      <c r="M446" s="5" t="s">
        <v>99</v>
      </c>
      <c r="N446" s="5" t="s">
        <v>48</v>
      </c>
      <c r="O446" s="5" t="s">
        <v>41</v>
      </c>
      <c r="P446" s="5" t="str">
        <f>IF(hospital_patient_unclean_500__2[[#This Row],[Age]]&lt;18,"0-17",IF(hospital_patient_unclean_500__2[[#This Row],[Age]]&lt;36,"18-35",IF(hospital_patient_unclean_500__2[[#This Row],[Age]]&lt;51,"36-50",IF(hospital_patient_unclean_500__2[[#This Row],[Age]]&lt;66,"51-65","66+"))))</f>
        <v>51-65</v>
      </c>
    </row>
    <row r="447" spans="1:16" x14ac:dyDescent="0.3">
      <c r="A447" s="5" t="s">
        <v>754</v>
      </c>
      <c r="B447" s="5" t="s">
        <v>340</v>
      </c>
      <c r="C447" s="6">
        <v>80</v>
      </c>
      <c r="D447" s="5" t="s">
        <v>17</v>
      </c>
      <c r="E447" s="5" t="s">
        <v>18</v>
      </c>
      <c r="F447" s="5" t="s">
        <v>28</v>
      </c>
      <c r="G447" s="5" t="s">
        <v>29</v>
      </c>
      <c r="H447" s="7">
        <v>45934</v>
      </c>
      <c r="I447" s="7">
        <v>45951</v>
      </c>
      <c r="J447" s="5" t="s">
        <v>75</v>
      </c>
      <c r="K447" s="5" t="s">
        <v>76</v>
      </c>
      <c r="L447" s="8">
        <v>113667.33</v>
      </c>
      <c r="M447" s="5" t="s">
        <v>72</v>
      </c>
      <c r="N447" s="5" t="s">
        <v>61</v>
      </c>
      <c r="O447" s="5" t="s">
        <v>93</v>
      </c>
      <c r="P447" s="5" t="str">
        <f>IF(hospital_patient_unclean_500__2[[#This Row],[Age]]&lt;18,"0-17",IF(hospital_patient_unclean_500__2[[#This Row],[Age]]&lt;36,"18-35",IF(hospital_patient_unclean_500__2[[#This Row],[Age]]&lt;51,"36-50",IF(hospital_patient_unclean_500__2[[#This Row],[Age]]&lt;66,"51-65","66+"))))</f>
        <v>66+</v>
      </c>
    </row>
    <row r="448" spans="1:16" x14ac:dyDescent="0.3">
      <c r="A448" s="5" t="s">
        <v>755</v>
      </c>
      <c r="B448" s="5" t="s">
        <v>518</v>
      </c>
      <c r="C448" s="6">
        <v>33</v>
      </c>
      <c r="D448" s="5" t="s">
        <v>17</v>
      </c>
      <c r="E448" s="5" t="s">
        <v>86</v>
      </c>
      <c r="F448" s="5" t="s">
        <v>28</v>
      </c>
      <c r="G448" s="5" t="s">
        <v>29</v>
      </c>
      <c r="H448" s="7">
        <v>45803</v>
      </c>
      <c r="I448" s="7">
        <v>45849</v>
      </c>
      <c r="J448" s="5" t="s">
        <v>30</v>
      </c>
      <c r="K448" s="5" t="s">
        <v>31</v>
      </c>
      <c r="L448" s="8">
        <v>327664.96000000002</v>
      </c>
      <c r="M448" s="5" t="s">
        <v>72</v>
      </c>
      <c r="N448" s="5" t="s">
        <v>33</v>
      </c>
      <c r="O448" s="5" t="s">
        <v>41</v>
      </c>
      <c r="P448" s="5" t="str">
        <f>IF(hospital_patient_unclean_500__2[[#This Row],[Age]]&lt;18,"0-17",IF(hospital_patient_unclean_500__2[[#This Row],[Age]]&lt;36,"18-35",IF(hospital_patient_unclean_500__2[[#This Row],[Age]]&lt;51,"36-50",IF(hospital_patient_unclean_500__2[[#This Row],[Age]]&lt;66,"51-65","66+"))))</f>
        <v>18-35</v>
      </c>
    </row>
    <row r="449" spans="1:16" x14ac:dyDescent="0.3">
      <c r="A449" s="5" t="s">
        <v>756</v>
      </c>
      <c r="B449" s="5" t="s">
        <v>425</v>
      </c>
      <c r="C449" s="6">
        <v>77</v>
      </c>
      <c r="D449" s="5" t="s">
        <v>51</v>
      </c>
      <c r="E449" s="5" t="s">
        <v>84</v>
      </c>
      <c r="F449" s="5" t="s">
        <v>132</v>
      </c>
      <c r="G449" s="5" t="s">
        <v>133</v>
      </c>
      <c r="H449" s="7">
        <v>45735</v>
      </c>
      <c r="I449" s="7">
        <v>45747</v>
      </c>
      <c r="J449" s="5" t="s">
        <v>134</v>
      </c>
      <c r="K449" s="5" t="s">
        <v>135</v>
      </c>
      <c r="L449" s="8">
        <v>14412.2</v>
      </c>
      <c r="M449" s="5" t="s">
        <v>23</v>
      </c>
      <c r="N449" s="5" t="s">
        <v>61</v>
      </c>
      <c r="O449" s="5" t="s">
        <v>820</v>
      </c>
      <c r="P449" s="5" t="str">
        <f>IF(hospital_patient_unclean_500__2[[#This Row],[Age]]&lt;18,"0-17",IF(hospital_patient_unclean_500__2[[#This Row],[Age]]&lt;36,"18-35",IF(hospital_patient_unclean_500__2[[#This Row],[Age]]&lt;51,"36-50",IF(hospital_patient_unclean_500__2[[#This Row],[Age]]&lt;66,"51-65","66+"))))</f>
        <v>66+</v>
      </c>
    </row>
    <row r="450" spans="1:16" x14ac:dyDescent="0.3">
      <c r="A450" s="5" t="s">
        <v>757</v>
      </c>
      <c r="B450" s="5" t="s">
        <v>758</v>
      </c>
      <c r="C450" s="6">
        <v>69</v>
      </c>
      <c r="D450" s="5" t="s">
        <v>51</v>
      </c>
      <c r="E450" s="5" t="s">
        <v>111</v>
      </c>
      <c r="F450" s="5" t="s">
        <v>53</v>
      </c>
      <c r="G450" s="5" t="s">
        <v>54</v>
      </c>
      <c r="H450" s="7">
        <v>45957</v>
      </c>
      <c r="I450" s="7">
        <v>45963</v>
      </c>
      <c r="J450" s="5" t="s">
        <v>70</v>
      </c>
      <c r="K450" s="5" t="s">
        <v>71</v>
      </c>
      <c r="L450" s="8">
        <v>206432.71</v>
      </c>
      <c r="M450" s="5" t="s">
        <v>60</v>
      </c>
      <c r="N450" s="5" t="s">
        <v>48</v>
      </c>
      <c r="O450" s="5" t="s">
        <v>25</v>
      </c>
      <c r="P450" s="5" t="str">
        <f>IF(hospital_patient_unclean_500__2[[#This Row],[Age]]&lt;18,"0-17",IF(hospital_patient_unclean_500__2[[#This Row],[Age]]&lt;36,"18-35",IF(hospital_patient_unclean_500__2[[#This Row],[Age]]&lt;51,"36-50",IF(hospital_patient_unclean_500__2[[#This Row],[Age]]&lt;66,"51-65","66+"))))</f>
        <v>66+</v>
      </c>
    </row>
    <row r="451" spans="1:16" x14ac:dyDescent="0.3">
      <c r="A451" s="5" t="s">
        <v>759</v>
      </c>
      <c r="B451" s="5" t="s">
        <v>760</v>
      </c>
      <c r="C451" s="6">
        <v>17</v>
      </c>
      <c r="D451" s="5" t="s">
        <v>17</v>
      </c>
      <c r="E451" s="5" t="s">
        <v>18</v>
      </c>
      <c r="F451" s="5" t="s">
        <v>44</v>
      </c>
      <c r="G451" s="5" t="s">
        <v>153</v>
      </c>
      <c r="H451" s="7">
        <v>45781</v>
      </c>
      <c r="I451" s="7">
        <v>45792</v>
      </c>
      <c r="J451" s="5" t="s">
        <v>819</v>
      </c>
      <c r="K451" s="5" t="s">
        <v>155</v>
      </c>
      <c r="L451" s="8">
        <v>192719.37</v>
      </c>
      <c r="M451" s="5" t="s">
        <v>40</v>
      </c>
      <c r="N451" s="5" t="s">
        <v>48</v>
      </c>
      <c r="O451" s="5" t="s">
        <v>93</v>
      </c>
      <c r="P451" s="5" t="str">
        <f>IF(hospital_patient_unclean_500__2[[#This Row],[Age]]&lt;18,"0-17",IF(hospital_patient_unclean_500__2[[#This Row],[Age]]&lt;36,"18-35",IF(hospital_patient_unclean_500__2[[#This Row],[Age]]&lt;51,"36-50",IF(hospital_patient_unclean_500__2[[#This Row],[Age]]&lt;66,"51-65","66+"))))</f>
        <v>0-17</v>
      </c>
    </row>
    <row r="452" spans="1:16" x14ac:dyDescent="0.3">
      <c r="A452" s="5" t="s">
        <v>761</v>
      </c>
      <c r="B452" s="5" t="s">
        <v>266</v>
      </c>
      <c r="C452" s="6">
        <v>69</v>
      </c>
      <c r="D452" s="5" t="s">
        <v>51</v>
      </c>
      <c r="E452" s="5" t="s">
        <v>111</v>
      </c>
      <c r="F452" s="5" t="s">
        <v>132</v>
      </c>
      <c r="G452" s="5" t="s">
        <v>223</v>
      </c>
      <c r="H452" s="7">
        <v>45684</v>
      </c>
      <c r="I452" s="7">
        <v>45695</v>
      </c>
      <c r="J452" s="5" t="s">
        <v>139</v>
      </c>
      <c r="K452" s="5" t="s">
        <v>140</v>
      </c>
      <c r="L452" s="8">
        <v>222821.85</v>
      </c>
      <c r="M452" s="5" t="s">
        <v>72</v>
      </c>
      <c r="N452" s="5" t="s">
        <v>61</v>
      </c>
      <c r="O452" s="5" t="s">
        <v>34</v>
      </c>
      <c r="P452" s="5" t="str">
        <f>IF(hospital_patient_unclean_500__2[[#This Row],[Age]]&lt;18,"0-17",IF(hospital_patient_unclean_500__2[[#This Row],[Age]]&lt;36,"18-35",IF(hospital_patient_unclean_500__2[[#This Row],[Age]]&lt;51,"36-50",IF(hospital_patient_unclean_500__2[[#This Row],[Age]]&lt;66,"51-65","66+"))))</f>
        <v>66+</v>
      </c>
    </row>
    <row r="453" spans="1:16" x14ac:dyDescent="0.3">
      <c r="A453" s="5" t="s">
        <v>762</v>
      </c>
      <c r="B453" s="5" t="s">
        <v>340</v>
      </c>
      <c r="C453" s="6">
        <v>85</v>
      </c>
      <c r="D453" s="5" t="s">
        <v>17</v>
      </c>
      <c r="E453" s="5" t="s">
        <v>68</v>
      </c>
      <c r="F453" s="5" t="s">
        <v>19</v>
      </c>
      <c r="G453" s="5" t="s">
        <v>158</v>
      </c>
      <c r="H453" s="7">
        <v>45704</v>
      </c>
      <c r="I453" s="7">
        <v>45704</v>
      </c>
      <c r="J453" s="5" t="s">
        <v>267</v>
      </c>
      <c r="K453" s="5" t="s">
        <v>268</v>
      </c>
      <c r="L453" s="8">
        <v>68567.039999999994</v>
      </c>
      <c r="M453" s="5" t="s">
        <v>32</v>
      </c>
      <c r="N453" s="5" t="s">
        <v>61</v>
      </c>
      <c r="O453" s="5" t="s">
        <v>41</v>
      </c>
      <c r="P453" s="5" t="str">
        <f>IF(hospital_patient_unclean_500__2[[#This Row],[Age]]&lt;18,"0-17",IF(hospital_patient_unclean_500__2[[#This Row],[Age]]&lt;36,"18-35",IF(hospital_patient_unclean_500__2[[#This Row],[Age]]&lt;51,"36-50",IF(hospital_patient_unclean_500__2[[#This Row],[Age]]&lt;66,"51-65","66+"))))</f>
        <v>66+</v>
      </c>
    </row>
    <row r="454" spans="1:16" x14ac:dyDescent="0.3">
      <c r="A454" s="5" t="s">
        <v>763</v>
      </c>
      <c r="B454" s="5" t="s">
        <v>337</v>
      </c>
      <c r="C454" s="6">
        <v>44</v>
      </c>
      <c r="D454" s="5" t="s">
        <v>17</v>
      </c>
      <c r="E454" s="5" t="s">
        <v>68</v>
      </c>
      <c r="F454" s="5" t="s">
        <v>19</v>
      </c>
      <c r="G454" s="5" t="s">
        <v>20</v>
      </c>
      <c r="H454" s="7">
        <v>45709</v>
      </c>
      <c r="I454" s="7">
        <v>45711</v>
      </c>
      <c r="J454" s="5" t="s">
        <v>180</v>
      </c>
      <c r="K454" s="5" t="s">
        <v>181</v>
      </c>
      <c r="L454" s="8">
        <v>245988.96</v>
      </c>
      <c r="M454" s="5" t="s">
        <v>819</v>
      </c>
      <c r="N454" s="5" t="s">
        <v>33</v>
      </c>
      <c r="O454" s="5" t="s">
        <v>34</v>
      </c>
      <c r="P454" s="5" t="str">
        <f>IF(hospital_patient_unclean_500__2[[#This Row],[Age]]&lt;18,"0-17",IF(hospital_patient_unclean_500__2[[#This Row],[Age]]&lt;36,"18-35",IF(hospital_patient_unclean_500__2[[#This Row],[Age]]&lt;51,"36-50",IF(hospital_patient_unclean_500__2[[#This Row],[Age]]&lt;66,"51-65","66+"))))</f>
        <v>36-50</v>
      </c>
    </row>
    <row r="455" spans="1:16" x14ac:dyDescent="0.3">
      <c r="A455" s="5" t="s">
        <v>764</v>
      </c>
      <c r="B455" s="5" t="s">
        <v>372</v>
      </c>
      <c r="C455" s="6">
        <v>50</v>
      </c>
      <c r="D455" s="5" t="s">
        <v>17</v>
      </c>
      <c r="E455" s="5" t="s">
        <v>124</v>
      </c>
      <c r="F455" s="5" t="s">
        <v>28</v>
      </c>
      <c r="G455" s="5" t="s">
        <v>819</v>
      </c>
      <c r="H455" s="7">
        <v>45825</v>
      </c>
      <c r="I455" s="7">
        <v>45834</v>
      </c>
      <c r="J455" s="5" t="s">
        <v>102</v>
      </c>
      <c r="K455" s="5" t="s">
        <v>103</v>
      </c>
      <c r="L455" s="8">
        <v>75111.69</v>
      </c>
      <c r="M455" s="5" t="s">
        <v>40</v>
      </c>
      <c r="N455" s="5" t="s">
        <v>61</v>
      </c>
      <c r="O455" s="5" t="s">
        <v>25</v>
      </c>
      <c r="P455" s="5" t="str">
        <f>IF(hospital_patient_unclean_500__2[[#This Row],[Age]]&lt;18,"0-17",IF(hospital_patient_unclean_500__2[[#This Row],[Age]]&lt;36,"18-35",IF(hospital_patient_unclean_500__2[[#This Row],[Age]]&lt;51,"36-50",IF(hospital_patient_unclean_500__2[[#This Row],[Age]]&lt;66,"51-65","66+"))))</f>
        <v>36-50</v>
      </c>
    </row>
    <row r="456" spans="1:16" x14ac:dyDescent="0.3">
      <c r="A456" s="5" t="s">
        <v>765</v>
      </c>
      <c r="B456" s="5" t="s">
        <v>766</v>
      </c>
      <c r="C456" s="6">
        <v>65</v>
      </c>
      <c r="D456" s="5" t="s">
        <v>17</v>
      </c>
      <c r="E456" s="5" t="s">
        <v>111</v>
      </c>
      <c r="F456" s="5" t="s">
        <v>53</v>
      </c>
      <c r="G456" s="5" t="s">
        <v>143</v>
      </c>
      <c r="H456" s="7">
        <v>45763</v>
      </c>
      <c r="I456" s="7">
        <v>45766</v>
      </c>
      <c r="J456" s="5" t="s">
        <v>70</v>
      </c>
      <c r="K456" s="5" t="s">
        <v>71</v>
      </c>
      <c r="L456" s="8">
        <v>180878.3</v>
      </c>
      <c r="M456" s="5" t="s">
        <v>23</v>
      </c>
      <c r="N456" s="5" t="s">
        <v>61</v>
      </c>
      <c r="O456" s="5" t="s">
        <v>34</v>
      </c>
      <c r="P456" s="5" t="str">
        <f>IF(hospital_patient_unclean_500__2[[#This Row],[Age]]&lt;18,"0-17",IF(hospital_patient_unclean_500__2[[#This Row],[Age]]&lt;36,"18-35",IF(hospital_patient_unclean_500__2[[#This Row],[Age]]&lt;51,"36-50",IF(hospital_patient_unclean_500__2[[#This Row],[Age]]&lt;66,"51-65","66+"))))</f>
        <v>51-65</v>
      </c>
    </row>
    <row r="457" spans="1:16" x14ac:dyDescent="0.3">
      <c r="A457" s="5" t="s">
        <v>767</v>
      </c>
      <c r="B457" s="5" t="s">
        <v>609</v>
      </c>
      <c r="C457" s="6">
        <v>25</v>
      </c>
      <c r="D457" s="5" t="s">
        <v>17</v>
      </c>
      <c r="E457" s="5" t="s">
        <v>111</v>
      </c>
      <c r="F457" s="5" t="s">
        <v>44</v>
      </c>
      <c r="G457" s="5" t="s">
        <v>45</v>
      </c>
      <c r="H457" s="7">
        <v>45738</v>
      </c>
      <c r="I457" s="7">
        <v>45753</v>
      </c>
      <c r="J457" s="5" t="s">
        <v>232</v>
      </c>
      <c r="K457" s="5" t="s">
        <v>160</v>
      </c>
      <c r="L457" s="8">
        <v>68817.2</v>
      </c>
      <c r="M457" s="5" t="s">
        <v>60</v>
      </c>
      <c r="N457" s="5" t="s">
        <v>24</v>
      </c>
      <c r="O457" s="5" t="s">
        <v>820</v>
      </c>
      <c r="P457" s="5" t="str">
        <f>IF(hospital_patient_unclean_500__2[[#This Row],[Age]]&lt;18,"0-17",IF(hospital_patient_unclean_500__2[[#This Row],[Age]]&lt;36,"18-35",IF(hospital_patient_unclean_500__2[[#This Row],[Age]]&lt;51,"36-50",IF(hospital_patient_unclean_500__2[[#This Row],[Age]]&lt;66,"51-65","66+"))))</f>
        <v>18-35</v>
      </c>
    </row>
    <row r="458" spans="1:16" x14ac:dyDescent="0.3">
      <c r="A458" s="5" t="s">
        <v>768</v>
      </c>
      <c r="B458" s="5" t="s">
        <v>27</v>
      </c>
      <c r="C458" s="6">
        <v>53</v>
      </c>
      <c r="D458" s="5" t="s">
        <v>51</v>
      </c>
      <c r="E458" s="5" t="s">
        <v>86</v>
      </c>
      <c r="F458" s="5" t="s">
        <v>53</v>
      </c>
      <c r="G458" s="5" t="s">
        <v>143</v>
      </c>
      <c r="H458" s="7">
        <v>45808</v>
      </c>
      <c r="I458" s="7">
        <v>45815</v>
      </c>
      <c r="J458" s="5" t="s">
        <v>70</v>
      </c>
      <c r="K458" s="5" t="s">
        <v>71</v>
      </c>
      <c r="L458" s="8">
        <v>349212.27</v>
      </c>
      <c r="M458" s="5" t="s">
        <v>819</v>
      </c>
      <c r="N458" s="5" t="s">
        <v>48</v>
      </c>
      <c r="O458" s="5" t="s">
        <v>25</v>
      </c>
      <c r="P458" s="5" t="str">
        <f>IF(hospital_patient_unclean_500__2[[#This Row],[Age]]&lt;18,"0-17",IF(hospital_patient_unclean_500__2[[#This Row],[Age]]&lt;36,"18-35",IF(hospital_patient_unclean_500__2[[#This Row],[Age]]&lt;51,"36-50",IF(hospital_patient_unclean_500__2[[#This Row],[Age]]&lt;66,"51-65","66+"))))</f>
        <v>51-65</v>
      </c>
    </row>
    <row r="459" spans="1:16" x14ac:dyDescent="0.3">
      <c r="A459" s="5" t="s">
        <v>769</v>
      </c>
      <c r="B459" s="5" t="s">
        <v>605</v>
      </c>
      <c r="C459" s="6">
        <v>58</v>
      </c>
      <c r="D459" s="5" t="s">
        <v>819</v>
      </c>
      <c r="E459" s="5" t="s">
        <v>52</v>
      </c>
      <c r="F459" s="5" t="s">
        <v>44</v>
      </c>
      <c r="G459" s="5" t="s">
        <v>819</v>
      </c>
      <c r="H459" s="7">
        <v>45752</v>
      </c>
      <c r="I459" s="7">
        <v>45761</v>
      </c>
      <c r="J459" s="5" t="s">
        <v>244</v>
      </c>
      <c r="K459" s="5" t="s">
        <v>280</v>
      </c>
      <c r="L459" s="8">
        <v>229226.77</v>
      </c>
      <c r="M459" s="5" t="s">
        <v>60</v>
      </c>
      <c r="N459" s="5" t="s">
        <v>48</v>
      </c>
      <c r="O459" s="5" t="s">
        <v>25</v>
      </c>
      <c r="P459" s="5" t="str">
        <f>IF(hospital_patient_unclean_500__2[[#This Row],[Age]]&lt;18,"0-17",IF(hospital_patient_unclean_500__2[[#This Row],[Age]]&lt;36,"18-35",IF(hospital_patient_unclean_500__2[[#This Row],[Age]]&lt;51,"36-50",IF(hospital_patient_unclean_500__2[[#This Row],[Age]]&lt;66,"51-65","66+"))))</f>
        <v>51-65</v>
      </c>
    </row>
    <row r="460" spans="1:16" x14ac:dyDescent="0.3">
      <c r="A460" s="5" t="s">
        <v>770</v>
      </c>
      <c r="B460" s="5" t="s">
        <v>123</v>
      </c>
      <c r="C460" s="6">
        <v>29</v>
      </c>
      <c r="D460" s="5" t="s">
        <v>17</v>
      </c>
      <c r="E460" s="5" t="s">
        <v>37</v>
      </c>
      <c r="F460" s="5" t="s">
        <v>28</v>
      </c>
      <c r="G460" s="5" t="s">
        <v>29</v>
      </c>
      <c r="H460" s="7">
        <v>45689</v>
      </c>
      <c r="I460" s="7">
        <v>45766</v>
      </c>
      <c r="J460" s="5" t="s">
        <v>30</v>
      </c>
      <c r="K460" s="5" t="s">
        <v>31</v>
      </c>
      <c r="L460" s="8">
        <v>183161.99</v>
      </c>
      <c r="M460" s="5" t="s">
        <v>99</v>
      </c>
      <c r="N460" s="5" t="s">
        <v>61</v>
      </c>
      <c r="O460" s="5" t="s">
        <v>41</v>
      </c>
      <c r="P460" s="5" t="str">
        <f>IF(hospital_patient_unclean_500__2[[#This Row],[Age]]&lt;18,"0-17",IF(hospital_patient_unclean_500__2[[#This Row],[Age]]&lt;36,"18-35",IF(hospital_patient_unclean_500__2[[#This Row],[Age]]&lt;51,"36-50",IF(hospital_patient_unclean_500__2[[#This Row],[Age]]&lt;66,"51-65","66+"))))</f>
        <v>18-35</v>
      </c>
    </row>
    <row r="461" spans="1:16" x14ac:dyDescent="0.3">
      <c r="A461" s="5" t="s">
        <v>771</v>
      </c>
      <c r="B461" s="5" t="s">
        <v>772</v>
      </c>
      <c r="C461" s="6">
        <v>14</v>
      </c>
      <c r="D461" s="5" t="s">
        <v>819</v>
      </c>
      <c r="E461" s="5" t="s">
        <v>52</v>
      </c>
      <c r="F461" s="5" t="s">
        <v>53</v>
      </c>
      <c r="G461" s="5" t="s">
        <v>69</v>
      </c>
      <c r="H461" s="7">
        <v>45755</v>
      </c>
      <c r="I461" s="7">
        <v>45771</v>
      </c>
      <c r="J461" s="5" t="s">
        <v>70</v>
      </c>
      <c r="K461" s="5" t="s">
        <v>71</v>
      </c>
      <c r="L461" s="8">
        <v>129525.51</v>
      </c>
      <c r="M461" s="5" t="s">
        <v>72</v>
      </c>
      <c r="N461" s="5" t="s">
        <v>24</v>
      </c>
      <c r="O461" s="5" t="s">
        <v>34</v>
      </c>
      <c r="P461" s="5" t="str">
        <f>IF(hospital_patient_unclean_500__2[[#This Row],[Age]]&lt;18,"0-17",IF(hospital_patient_unclean_500__2[[#This Row],[Age]]&lt;36,"18-35",IF(hospital_patient_unclean_500__2[[#This Row],[Age]]&lt;51,"36-50",IF(hospital_patient_unclean_500__2[[#This Row],[Age]]&lt;66,"51-65","66+"))))</f>
        <v>0-17</v>
      </c>
    </row>
    <row r="462" spans="1:16" x14ac:dyDescent="0.3">
      <c r="A462" s="5" t="s">
        <v>773</v>
      </c>
      <c r="B462" s="5" t="s">
        <v>298</v>
      </c>
      <c r="C462" s="6">
        <v>3</v>
      </c>
      <c r="D462" s="5" t="s">
        <v>17</v>
      </c>
      <c r="E462" s="5" t="s">
        <v>111</v>
      </c>
      <c r="F462" s="5" t="s">
        <v>44</v>
      </c>
      <c r="G462" s="5" t="s">
        <v>153</v>
      </c>
      <c r="H462" s="7">
        <v>45698</v>
      </c>
      <c r="I462" s="7">
        <v>45887</v>
      </c>
      <c r="J462" s="5" t="s">
        <v>154</v>
      </c>
      <c r="K462" s="5" t="s">
        <v>155</v>
      </c>
      <c r="L462" s="8">
        <v>174036.3</v>
      </c>
      <c r="M462" s="5" t="s">
        <v>99</v>
      </c>
      <c r="N462" s="5" t="s">
        <v>24</v>
      </c>
      <c r="O462" s="5" t="s">
        <v>34</v>
      </c>
      <c r="P462" s="5" t="str">
        <f>IF(hospital_patient_unclean_500__2[[#This Row],[Age]]&lt;18,"0-17",IF(hospital_patient_unclean_500__2[[#This Row],[Age]]&lt;36,"18-35",IF(hospital_patient_unclean_500__2[[#This Row],[Age]]&lt;51,"36-50",IF(hospital_patient_unclean_500__2[[#This Row],[Age]]&lt;66,"51-65","66+"))))</f>
        <v>0-17</v>
      </c>
    </row>
    <row r="463" spans="1:16" x14ac:dyDescent="0.3">
      <c r="A463" s="5" t="s">
        <v>774</v>
      </c>
      <c r="B463" s="5" t="s">
        <v>372</v>
      </c>
      <c r="C463" s="6">
        <v>83</v>
      </c>
      <c r="D463" s="5" t="s">
        <v>17</v>
      </c>
      <c r="E463" s="5" t="s">
        <v>52</v>
      </c>
      <c r="F463" s="5" t="s">
        <v>38</v>
      </c>
      <c r="G463" s="5" t="s">
        <v>125</v>
      </c>
      <c r="H463" s="7">
        <v>46001</v>
      </c>
      <c r="I463" s="7">
        <v>46002</v>
      </c>
      <c r="J463" s="5" t="s">
        <v>819</v>
      </c>
      <c r="K463" s="5" t="s">
        <v>39</v>
      </c>
      <c r="L463" s="8">
        <v>21364.73</v>
      </c>
      <c r="M463" s="5" t="s">
        <v>99</v>
      </c>
      <c r="N463" s="5" t="s">
        <v>65</v>
      </c>
      <c r="O463" s="5" t="s">
        <v>34</v>
      </c>
      <c r="P463" s="5" t="str">
        <f>IF(hospital_patient_unclean_500__2[[#This Row],[Age]]&lt;18,"0-17",IF(hospital_patient_unclean_500__2[[#This Row],[Age]]&lt;36,"18-35",IF(hospital_patient_unclean_500__2[[#This Row],[Age]]&lt;51,"36-50",IF(hospital_patient_unclean_500__2[[#This Row],[Age]]&lt;66,"51-65","66+"))))</f>
        <v>66+</v>
      </c>
    </row>
    <row r="464" spans="1:16" x14ac:dyDescent="0.3">
      <c r="A464" s="5" t="s">
        <v>775</v>
      </c>
      <c r="B464" s="5" t="s">
        <v>164</v>
      </c>
      <c r="C464" s="6">
        <v>23</v>
      </c>
      <c r="D464" s="5" t="s">
        <v>51</v>
      </c>
      <c r="E464" s="5" t="s">
        <v>86</v>
      </c>
      <c r="F464" s="5" t="s">
        <v>132</v>
      </c>
      <c r="G464" s="5" t="s">
        <v>138</v>
      </c>
      <c r="H464" s="7">
        <v>45856</v>
      </c>
      <c r="I464" s="7">
        <v>45863</v>
      </c>
      <c r="J464" s="5" t="s">
        <v>134</v>
      </c>
      <c r="K464" s="5" t="s">
        <v>135</v>
      </c>
      <c r="L464" s="8">
        <v>318228</v>
      </c>
      <c r="M464" s="5" t="s">
        <v>23</v>
      </c>
      <c r="N464" s="5" t="s">
        <v>65</v>
      </c>
      <c r="O464" s="5" t="s">
        <v>34</v>
      </c>
      <c r="P464" s="5" t="str">
        <f>IF(hospital_patient_unclean_500__2[[#This Row],[Age]]&lt;18,"0-17",IF(hospital_patient_unclean_500__2[[#This Row],[Age]]&lt;36,"18-35",IF(hospital_patient_unclean_500__2[[#This Row],[Age]]&lt;51,"36-50",IF(hospital_patient_unclean_500__2[[#This Row],[Age]]&lt;66,"51-65","66+"))))</f>
        <v>18-35</v>
      </c>
    </row>
    <row r="465" spans="1:16" x14ac:dyDescent="0.3">
      <c r="A465" s="5" t="s">
        <v>776</v>
      </c>
      <c r="B465" s="5" t="s">
        <v>127</v>
      </c>
      <c r="C465" s="6">
        <v>22</v>
      </c>
      <c r="D465" s="5" t="s">
        <v>51</v>
      </c>
      <c r="E465" s="5" t="s">
        <v>111</v>
      </c>
      <c r="F465" s="5" t="s">
        <v>53</v>
      </c>
      <c r="G465" s="5" t="s">
        <v>54</v>
      </c>
      <c r="H465" s="7">
        <v>45689</v>
      </c>
      <c r="I465" s="7">
        <v>45706</v>
      </c>
      <c r="J465" s="5" t="s">
        <v>70</v>
      </c>
      <c r="K465" s="5" t="s">
        <v>71</v>
      </c>
      <c r="L465" s="8">
        <v>344496.24</v>
      </c>
      <c r="M465" s="5" t="s">
        <v>60</v>
      </c>
      <c r="N465" s="5" t="s">
        <v>33</v>
      </c>
      <c r="O465" s="5" t="s">
        <v>820</v>
      </c>
      <c r="P465" s="5" t="str">
        <f>IF(hospital_patient_unclean_500__2[[#This Row],[Age]]&lt;18,"0-17",IF(hospital_patient_unclean_500__2[[#This Row],[Age]]&lt;36,"18-35",IF(hospital_patient_unclean_500__2[[#This Row],[Age]]&lt;51,"36-50",IF(hospital_patient_unclean_500__2[[#This Row],[Age]]&lt;66,"51-65","66+"))))</f>
        <v>18-35</v>
      </c>
    </row>
    <row r="466" spans="1:16" x14ac:dyDescent="0.3">
      <c r="A466" s="5" t="s">
        <v>777</v>
      </c>
      <c r="B466" s="5" t="s">
        <v>778</v>
      </c>
      <c r="C466" s="6">
        <v>48</v>
      </c>
      <c r="D466" s="5" t="s">
        <v>51</v>
      </c>
      <c r="E466" s="5" t="s">
        <v>124</v>
      </c>
      <c r="F466" s="5" t="s">
        <v>87</v>
      </c>
      <c r="G466" s="5" t="s">
        <v>324</v>
      </c>
      <c r="H466" s="7">
        <v>46011</v>
      </c>
      <c r="I466" s="7">
        <v>46020</v>
      </c>
      <c r="J466" s="5" t="s">
        <v>819</v>
      </c>
      <c r="K466" s="5" t="s">
        <v>113</v>
      </c>
      <c r="L466" s="8">
        <v>179146.94</v>
      </c>
      <c r="M466" s="5" t="s">
        <v>40</v>
      </c>
      <c r="N466" s="5" t="s">
        <v>33</v>
      </c>
      <c r="O466" s="5" t="s">
        <v>25</v>
      </c>
      <c r="P466" s="5" t="str">
        <f>IF(hospital_patient_unclean_500__2[[#This Row],[Age]]&lt;18,"0-17",IF(hospital_patient_unclean_500__2[[#This Row],[Age]]&lt;36,"18-35",IF(hospital_patient_unclean_500__2[[#This Row],[Age]]&lt;51,"36-50",IF(hospital_patient_unclean_500__2[[#This Row],[Age]]&lt;66,"51-65","66+"))))</f>
        <v>36-50</v>
      </c>
    </row>
    <row r="467" spans="1:16" x14ac:dyDescent="0.3">
      <c r="A467" s="5" t="s">
        <v>779</v>
      </c>
      <c r="B467" s="5" t="s">
        <v>780</v>
      </c>
      <c r="C467" s="6">
        <v>26</v>
      </c>
      <c r="D467" s="5" t="s">
        <v>819</v>
      </c>
      <c r="E467" s="5" t="s">
        <v>86</v>
      </c>
      <c r="F467" s="5" t="s">
        <v>53</v>
      </c>
      <c r="G467" s="5" t="s">
        <v>54</v>
      </c>
      <c r="H467" s="7">
        <v>45834</v>
      </c>
      <c r="I467" s="7">
        <v>45846</v>
      </c>
      <c r="J467" s="5" t="s">
        <v>107</v>
      </c>
      <c r="K467" s="5" t="s">
        <v>108</v>
      </c>
      <c r="L467" s="8">
        <v>346234.73</v>
      </c>
      <c r="M467" s="5" t="s">
        <v>32</v>
      </c>
      <c r="N467" s="5" t="s">
        <v>24</v>
      </c>
      <c r="O467" s="5" t="s">
        <v>34</v>
      </c>
      <c r="P467" s="5" t="str">
        <f>IF(hospital_patient_unclean_500__2[[#This Row],[Age]]&lt;18,"0-17",IF(hospital_patient_unclean_500__2[[#This Row],[Age]]&lt;36,"18-35",IF(hospital_patient_unclean_500__2[[#This Row],[Age]]&lt;51,"36-50",IF(hospital_patient_unclean_500__2[[#This Row],[Age]]&lt;66,"51-65","66+"))))</f>
        <v>18-35</v>
      </c>
    </row>
    <row r="468" spans="1:16" x14ac:dyDescent="0.3">
      <c r="A468" s="5" t="s">
        <v>864</v>
      </c>
      <c r="B468" s="5" t="s">
        <v>659</v>
      </c>
      <c r="C468" s="6">
        <v>3</v>
      </c>
      <c r="D468" s="5" t="s">
        <v>17</v>
      </c>
      <c r="E468" s="5" t="s">
        <v>84</v>
      </c>
      <c r="F468" s="5" t="s">
        <v>19</v>
      </c>
      <c r="G468" s="5" t="s">
        <v>20</v>
      </c>
      <c r="H468" s="7">
        <v>45887</v>
      </c>
      <c r="I468" s="7">
        <v>45887</v>
      </c>
      <c r="J468" s="5" t="s">
        <v>21</v>
      </c>
      <c r="K468" s="5" t="s">
        <v>22</v>
      </c>
      <c r="L468" s="8">
        <v>192719.37</v>
      </c>
      <c r="M468" s="5" t="s">
        <v>72</v>
      </c>
      <c r="N468" s="5" t="s">
        <v>61</v>
      </c>
      <c r="O468" s="5" t="s">
        <v>41</v>
      </c>
      <c r="P468" s="5" t="str">
        <f>IF(hospital_patient_unclean_500__2[[#This Row],[Age]]&lt;18,"0-17",IF(hospital_patient_unclean_500__2[[#This Row],[Age]]&lt;36,"18-35",IF(hospital_patient_unclean_500__2[[#This Row],[Age]]&lt;51,"36-50",IF(hospital_patient_unclean_500__2[[#This Row],[Age]]&lt;66,"51-65","66+"))))</f>
        <v>0-17</v>
      </c>
    </row>
    <row r="469" spans="1:16" x14ac:dyDescent="0.3">
      <c r="A469" s="5" t="s">
        <v>781</v>
      </c>
      <c r="B469" s="5" t="s">
        <v>766</v>
      </c>
      <c r="C469" s="6">
        <v>58</v>
      </c>
      <c r="D469" s="5" t="s">
        <v>17</v>
      </c>
      <c r="E469" s="5" t="s">
        <v>111</v>
      </c>
      <c r="F469" s="5" t="s">
        <v>87</v>
      </c>
      <c r="G469" s="5" t="s">
        <v>112</v>
      </c>
      <c r="H469" s="7">
        <v>45686</v>
      </c>
      <c r="I469" s="7">
        <v>45693</v>
      </c>
      <c r="J469" s="5" t="s">
        <v>192</v>
      </c>
      <c r="K469" s="5" t="s">
        <v>193</v>
      </c>
      <c r="L469" s="8">
        <v>284470.31</v>
      </c>
      <c r="M469" s="5" t="s">
        <v>99</v>
      </c>
      <c r="N469" s="5" t="s">
        <v>24</v>
      </c>
      <c r="O469" s="5" t="s">
        <v>93</v>
      </c>
      <c r="P469" s="5" t="str">
        <f>IF(hospital_patient_unclean_500__2[[#This Row],[Age]]&lt;18,"0-17",IF(hospital_patient_unclean_500__2[[#This Row],[Age]]&lt;36,"18-35",IF(hospital_patient_unclean_500__2[[#This Row],[Age]]&lt;51,"36-50",IF(hospital_patient_unclean_500__2[[#This Row],[Age]]&lt;66,"51-65","66+"))))</f>
        <v>51-65</v>
      </c>
    </row>
    <row r="470" spans="1:16" x14ac:dyDescent="0.3">
      <c r="A470" s="5" t="s">
        <v>782</v>
      </c>
      <c r="B470" s="5" t="s">
        <v>783</v>
      </c>
      <c r="C470" s="6">
        <v>47</v>
      </c>
      <c r="D470" s="5" t="s">
        <v>17</v>
      </c>
      <c r="E470" s="5" t="s">
        <v>52</v>
      </c>
      <c r="F470" s="5" t="s">
        <v>132</v>
      </c>
      <c r="G470" s="5" t="s">
        <v>133</v>
      </c>
      <c r="H470" s="7">
        <v>45998</v>
      </c>
      <c r="I470" s="7">
        <v>45998</v>
      </c>
      <c r="J470" s="5" t="s">
        <v>134</v>
      </c>
      <c r="K470" s="5" t="s">
        <v>135</v>
      </c>
      <c r="L470" s="8">
        <v>291337.67</v>
      </c>
      <c r="M470" s="5" t="s">
        <v>60</v>
      </c>
      <c r="N470" s="5" t="s">
        <v>61</v>
      </c>
      <c r="O470" s="5" t="s">
        <v>41</v>
      </c>
      <c r="P470" s="5" t="str">
        <f>IF(hospital_patient_unclean_500__2[[#This Row],[Age]]&lt;18,"0-17",IF(hospital_patient_unclean_500__2[[#This Row],[Age]]&lt;36,"18-35",IF(hospital_patient_unclean_500__2[[#This Row],[Age]]&lt;51,"36-50",IF(hospital_patient_unclean_500__2[[#This Row],[Age]]&lt;66,"51-65","66+"))))</f>
        <v>36-50</v>
      </c>
    </row>
    <row r="471" spans="1:16" x14ac:dyDescent="0.3">
      <c r="A471" s="5" t="s">
        <v>784</v>
      </c>
      <c r="B471" s="5" t="s">
        <v>512</v>
      </c>
      <c r="C471" s="6">
        <v>53</v>
      </c>
      <c r="D471" s="5" t="s">
        <v>17</v>
      </c>
      <c r="E471" s="5" t="s">
        <v>52</v>
      </c>
      <c r="F471" s="5" t="s">
        <v>44</v>
      </c>
      <c r="G471" s="5" t="s">
        <v>221</v>
      </c>
      <c r="H471" s="7">
        <v>45919</v>
      </c>
      <c r="I471" s="7">
        <v>45919</v>
      </c>
      <c r="J471" s="5" t="s">
        <v>154</v>
      </c>
      <c r="K471" s="5" t="s">
        <v>155</v>
      </c>
      <c r="L471" s="8">
        <v>315860.09999999998</v>
      </c>
      <c r="M471" s="5" t="s">
        <v>32</v>
      </c>
      <c r="N471" s="5" t="s">
        <v>24</v>
      </c>
      <c r="O471" s="5" t="s">
        <v>41</v>
      </c>
      <c r="P471" s="5" t="str">
        <f>IF(hospital_patient_unclean_500__2[[#This Row],[Age]]&lt;18,"0-17",IF(hospital_patient_unclean_500__2[[#This Row],[Age]]&lt;36,"18-35",IF(hospital_patient_unclean_500__2[[#This Row],[Age]]&lt;51,"36-50",IF(hospital_patient_unclean_500__2[[#This Row],[Age]]&lt;66,"51-65","66+"))))</f>
        <v>51-65</v>
      </c>
    </row>
    <row r="472" spans="1:16" x14ac:dyDescent="0.3">
      <c r="A472" s="5" t="s">
        <v>865</v>
      </c>
      <c r="B472" s="5" t="s">
        <v>100</v>
      </c>
      <c r="C472" s="6">
        <v>86</v>
      </c>
      <c r="D472" s="5" t="s">
        <v>17</v>
      </c>
      <c r="E472" s="5" t="s">
        <v>68</v>
      </c>
      <c r="F472" s="5" t="s">
        <v>87</v>
      </c>
      <c r="G472" s="5" t="s">
        <v>88</v>
      </c>
      <c r="H472" s="7">
        <v>45986</v>
      </c>
      <c r="I472" s="7">
        <v>45988</v>
      </c>
      <c r="J472" s="5" t="s">
        <v>89</v>
      </c>
      <c r="K472" s="5" t="s">
        <v>92</v>
      </c>
      <c r="L472" s="8">
        <v>0</v>
      </c>
      <c r="M472" s="5" t="s">
        <v>32</v>
      </c>
      <c r="N472" s="5" t="s">
        <v>24</v>
      </c>
      <c r="O472" s="5" t="s">
        <v>25</v>
      </c>
      <c r="P472" s="5" t="str">
        <f>IF(hospital_patient_unclean_500__2[[#This Row],[Age]]&lt;18,"0-17",IF(hospital_patient_unclean_500__2[[#This Row],[Age]]&lt;36,"18-35",IF(hospital_patient_unclean_500__2[[#This Row],[Age]]&lt;51,"36-50",IF(hospital_patient_unclean_500__2[[#This Row],[Age]]&lt;66,"51-65","66+"))))</f>
        <v>66+</v>
      </c>
    </row>
    <row r="473" spans="1:16" x14ac:dyDescent="0.3">
      <c r="A473" s="5" t="s">
        <v>785</v>
      </c>
      <c r="B473" s="5" t="s">
        <v>786</v>
      </c>
      <c r="C473" s="6">
        <v>61</v>
      </c>
      <c r="D473" s="5" t="s">
        <v>51</v>
      </c>
      <c r="E473" s="5" t="s">
        <v>68</v>
      </c>
      <c r="F473" s="5" t="s">
        <v>819</v>
      </c>
      <c r="G473" s="5" t="s">
        <v>158</v>
      </c>
      <c r="H473" s="7">
        <v>45668</v>
      </c>
      <c r="I473" s="7">
        <v>45672</v>
      </c>
      <c r="J473" s="5" t="s">
        <v>21</v>
      </c>
      <c r="K473" s="5" t="s">
        <v>22</v>
      </c>
      <c r="L473" s="8">
        <v>12286.13</v>
      </c>
      <c r="M473" s="5" t="s">
        <v>32</v>
      </c>
      <c r="N473" s="5" t="s">
        <v>61</v>
      </c>
      <c r="O473" s="5" t="s">
        <v>34</v>
      </c>
      <c r="P473" s="5" t="str">
        <f>IF(hospital_patient_unclean_500__2[[#This Row],[Age]]&lt;18,"0-17",IF(hospital_patient_unclean_500__2[[#This Row],[Age]]&lt;36,"18-35",IF(hospital_patient_unclean_500__2[[#This Row],[Age]]&lt;51,"36-50",IF(hospital_patient_unclean_500__2[[#This Row],[Age]]&lt;66,"51-65","66+"))))</f>
        <v>51-65</v>
      </c>
    </row>
    <row r="474" spans="1:16" x14ac:dyDescent="0.3">
      <c r="A474" s="5" t="s">
        <v>787</v>
      </c>
      <c r="B474" s="5" t="s">
        <v>668</v>
      </c>
      <c r="C474" s="6">
        <v>83</v>
      </c>
      <c r="D474" s="5" t="s">
        <v>51</v>
      </c>
      <c r="E474" s="5" t="s">
        <v>124</v>
      </c>
      <c r="F474" s="5" t="s">
        <v>19</v>
      </c>
      <c r="G474" s="5" t="s">
        <v>20</v>
      </c>
      <c r="H474" s="7">
        <v>45780</v>
      </c>
      <c r="I474" s="7">
        <v>45783</v>
      </c>
      <c r="J474" s="5" t="s">
        <v>120</v>
      </c>
      <c r="K474" s="5" t="s">
        <v>121</v>
      </c>
      <c r="L474" s="8">
        <v>81893.210000000006</v>
      </c>
      <c r="M474" s="5" t="s">
        <v>32</v>
      </c>
      <c r="N474" s="5" t="s">
        <v>48</v>
      </c>
      <c r="O474" s="5" t="s">
        <v>93</v>
      </c>
      <c r="P474" s="5" t="str">
        <f>IF(hospital_patient_unclean_500__2[[#This Row],[Age]]&lt;18,"0-17",IF(hospital_patient_unclean_500__2[[#This Row],[Age]]&lt;36,"18-35",IF(hospital_patient_unclean_500__2[[#This Row],[Age]]&lt;51,"36-50",IF(hospital_patient_unclean_500__2[[#This Row],[Age]]&lt;66,"51-65","66+"))))</f>
        <v>66+</v>
      </c>
    </row>
    <row r="475" spans="1:16" x14ac:dyDescent="0.3">
      <c r="A475" s="5" t="s">
        <v>788</v>
      </c>
      <c r="B475" s="5" t="s">
        <v>278</v>
      </c>
      <c r="C475" s="6">
        <v>49</v>
      </c>
      <c r="D475" s="5" t="s">
        <v>17</v>
      </c>
      <c r="E475" s="5" t="s">
        <v>111</v>
      </c>
      <c r="F475" s="5" t="s">
        <v>19</v>
      </c>
      <c r="G475" s="5" t="s">
        <v>20</v>
      </c>
      <c r="H475" s="7">
        <v>45887</v>
      </c>
      <c r="I475" s="7">
        <v>45887</v>
      </c>
      <c r="J475" s="5" t="s">
        <v>120</v>
      </c>
      <c r="K475" s="5" t="s">
        <v>121</v>
      </c>
      <c r="L475" s="8">
        <v>0</v>
      </c>
      <c r="M475" s="5" t="s">
        <v>40</v>
      </c>
      <c r="N475" s="5" t="s">
        <v>48</v>
      </c>
      <c r="O475" s="5" t="s">
        <v>41</v>
      </c>
      <c r="P475" s="5" t="str">
        <f>IF(hospital_patient_unclean_500__2[[#This Row],[Age]]&lt;18,"0-17",IF(hospital_patient_unclean_500__2[[#This Row],[Age]]&lt;36,"18-35",IF(hospital_patient_unclean_500__2[[#This Row],[Age]]&lt;51,"36-50",IF(hospital_patient_unclean_500__2[[#This Row],[Age]]&lt;66,"51-65","66+"))))</f>
        <v>36-50</v>
      </c>
    </row>
    <row r="476" spans="1:16" x14ac:dyDescent="0.3">
      <c r="A476" s="5" t="s">
        <v>789</v>
      </c>
      <c r="B476" s="5" t="s">
        <v>649</v>
      </c>
      <c r="C476" s="6">
        <v>10</v>
      </c>
      <c r="D476" s="5" t="s">
        <v>51</v>
      </c>
      <c r="E476" s="5" t="s">
        <v>84</v>
      </c>
      <c r="F476" s="5" t="s">
        <v>132</v>
      </c>
      <c r="G476" s="5" t="s">
        <v>223</v>
      </c>
      <c r="H476" s="7">
        <v>45694</v>
      </c>
      <c r="I476" s="7">
        <v>45927</v>
      </c>
      <c r="J476" s="5" t="s">
        <v>139</v>
      </c>
      <c r="K476" s="5" t="s">
        <v>140</v>
      </c>
      <c r="L476" s="8">
        <v>15667.1</v>
      </c>
      <c r="M476" s="5" t="s">
        <v>23</v>
      </c>
      <c r="N476" s="5" t="s">
        <v>33</v>
      </c>
      <c r="O476" s="5" t="s">
        <v>41</v>
      </c>
      <c r="P476" s="5" t="str">
        <f>IF(hospital_patient_unclean_500__2[[#This Row],[Age]]&lt;18,"0-17",IF(hospital_patient_unclean_500__2[[#This Row],[Age]]&lt;36,"18-35",IF(hospital_patient_unclean_500__2[[#This Row],[Age]]&lt;51,"36-50",IF(hospital_patient_unclean_500__2[[#This Row],[Age]]&lt;66,"51-65","66+"))))</f>
        <v>0-17</v>
      </c>
    </row>
    <row r="477" spans="1:16" x14ac:dyDescent="0.3">
      <c r="A477" s="5" t="s">
        <v>790</v>
      </c>
      <c r="B477" s="5" t="s">
        <v>453</v>
      </c>
      <c r="C477" s="6">
        <v>29</v>
      </c>
      <c r="D477" s="5" t="s">
        <v>51</v>
      </c>
      <c r="E477" s="5" t="s">
        <v>84</v>
      </c>
      <c r="F477" s="5" t="s">
        <v>132</v>
      </c>
      <c r="G477" s="5" t="s">
        <v>133</v>
      </c>
      <c r="H477" s="7">
        <v>45956</v>
      </c>
      <c r="I477" s="7">
        <v>45974</v>
      </c>
      <c r="J477" s="5" t="s">
        <v>139</v>
      </c>
      <c r="K477" s="5" t="s">
        <v>140</v>
      </c>
      <c r="L477" s="8">
        <v>32457.05</v>
      </c>
      <c r="M477" s="5" t="s">
        <v>32</v>
      </c>
      <c r="N477" s="5" t="s">
        <v>819</v>
      </c>
      <c r="O477" s="5" t="s">
        <v>34</v>
      </c>
      <c r="P477" s="5" t="str">
        <f>IF(hospital_patient_unclean_500__2[[#This Row],[Age]]&lt;18,"0-17",IF(hospital_patient_unclean_500__2[[#This Row],[Age]]&lt;36,"18-35",IF(hospital_patient_unclean_500__2[[#This Row],[Age]]&lt;51,"36-50",IF(hospital_patient_unclean_500__2[[#This Row],[Age]]&lt;66,"51-65","66+"))))</f>
        <v>18-35</v>
      </c>
    </row>
    <row r="478" spans="1:16" x14ac:dyDescent="0.3">
      <c r="A478" s="5" t="s">
        <v>791</v>
      </c>
      <c r="B478" s="5" t="s">
        <v>730</v>
      </c>
      <c r="C478" s="6">
        <v>88</v>
      </c>
      <c r="D478" s="5" t="s">
        <v>17</v>
      </c>
      <c r="E478" s="5" t="s">
        <v>43</v>
      </c>
      <c r="F478" s="5" t="s">
        <v>53</v>
      </c>
      <c r="G478" s="5" t="s">
        <v>143</v>
      </c>
      <c r="H478" s="7">
        <v>45817</v>
      </c>
      <c r="I478" s="7">
        <v>45968</v>
      </c>
      <c r="J478" s="5" t="s">
        <v>107</v>
      </c>
      <c r="K478" s="5" t="s">
        <v>108</v>
      </c>
      <c r="L478" s="8">
        <v>328190.71000000002</v>
      </c>
      <c r="M478" s="5" t="s">
        <v>99</v>
      </c>
      <c r="N478" s="5" t="s">
        <v>48</v>
      </c>
      <c r="O478" s="5" t="s">
        <v>41</v>
      </c>
      <c r="P478" s="5" t="str">
        <f>IF(hospital_patient_unclean_500__2[[#This Row],[Age]]&lt;18,"0-17",IF(hospital_patient_unclean_500__2[[#This Row],[Age]]&lt;36,"18-35",IF(hospital_patient_unclean_500__2[[#This Row],[Age]]&lt;51,"36-50",IF(hospital_patient_unclean_500__2[[#This Row],[Age]]&lt;66,"51-65","66+"))))</f>
        <v>66+</v>
      </c>
    </row>
    <row r="479" spans="1:16" x14ac:dyDescent="0.3">
      <c r="A479" s="5" t="s">
        <v>792</v>
      </c>
      <c r="B479" s="5" t="s">
        <v>659</v>
      </c>
      <c r="C479" s="6">
        <v>44</v>
      </c>
      <c r="D479" s="5" t="s">
        <v>17</v>
      </c>
      <c r="E479" s="5" t="s">
        <v>86</v>
      </c>
      <c r="F479" s="5" t="s">
        <v>87</v>
      </c>
      <c r="G479" s="5" t="s">
        <v>324</v>
      </c>
      <c r="H479" s="7">
        <v>45948</v>
      </c>
      <c r="I479" s="7">
        <v>45962</v>
      </c>
      <c r="J479" s="5" t="s">
        <v>216</v>
      </c>
      <c r="K479" s="5" t="s">
        <v>839</v>
      </c>
      <c r="L479" s="8">
        <v>102588.38</v>
      </c>
      <c r="M479" s="5" t="s">
        <v>60</v>
      </c>
      <c r="N479" s="5" t="s">
        <v>33</v>
      </c>
      <c r="O479" s="5" t="s">
        <v>820</v>
      </c>
      <c r="P479" s="5" t="str">
        <f>IF(hospital_patient_unclean_500__2[[#This Row],[Age]]&lt;18,"0-17",IF(hospital_patient_unclean_500__2[[#This Row],[Age]]&lt;36,"18-35",IF(hospital_patient_unclean_500__2[[#This Row],[Age]]&lt;51,"36-50",IF(hospital_patient_unclean_500__2[[#This Row],[Age]]&lt;66,"51-65","66+"))))</f>
        <v>36-50</v>
      </c>
    </row>
    <row r="480" spans="1:16" x14ac:dyDescent="0.3">
      <c r="A480" s="5" t="s">
        <v>793</v>
      </c>
      <c r="B480" s="5" t="s">
        <v>535</v>
      </c>
      <c r="C480" s="6">
        <v>44</v>
      </c>
      <c r="D480" s="5" t="s">
        <v>51</v>
      </c>
      <c r="E480" s="5" t="s">
        <v>64</v>
      </c>
      <c r="F480" s="5" t="s">
        <v>53</v>
      </c>
      <c r="G480" s="5" t="s">
        <v>819</v>
      </c>
      <c r="H480" s="7">
        <v>45831</v>
      </c>
      <c r="I480" s="7">
        <v>45832</v>
      </c>
      <c r="J480" s="5" t="s">
        <v>107</v>
      </c>
      <c r="K480" s="5" t="s">
        <v>108</v>
      </c>
      <c r="L480" s="8">
        <v>243594.27</v>
      </c>
      <c r="M480" s="5" t="s">
        <v>32</v>
      </c>
      <c r="N480" s="5" t="s">
        <v>48</v>
      </c>
      <c r="O480" s="5" t="s">
        <v>820</v>
      </c>
      <c r="P480" s="5" t="str">
        <f>IF(hospital_patient_unclean_500__2[[#This Row],[Age]]&lt;18,"0-17",IF(hospital_patient_unclean_500__2[[#This Row],[Age]]&lt;36,"18-35",IF(hospital_patient_unclean_500__2[[#This Row],[Age]]&lt;51,"36-50",IF(hospital_patient_unclean_500__2[[#This Row],[Age]]&lt;66,"51-65","66+"))))</f>
        <v>36-50</v>
      </c>
    </row>
    <row r="481" spans="1:16" x14ac:dyDescent="0.3">
      <c r="A481" s="5" t="s">
        <v>794</v>
      </c>
      <c r="B481" s="5" t="s">
        <v>78</v>
      </c>
      <c r="C481" s="6">
        <v>88</v>
      </c>
      <c r="D481" s="5" t="s">
        <v>51</v>
      </c>
      <c r="E481" s="5" t="s">
        <v>819</v>
      </c>
      <c r="F481" s="5" t="s">
        <v>28</v>
      </c>
      <c r="G481" s="5" t="s">
        <v>195</v>
      </c>
      <c r="H481" s="7">
        <v>45871</v>
      </c>
      <c r="I481" s="7">
        <v>45871</v>
      </c>
      <c r="J481" s="5" t="s">
        <v>102</v>
      </c>
      <c r="K481" s="5" t="s">
        <v>103</v>
      </c>
      <c r="L481" s="8">
        <v>261994.94</v>
      </c>
      <c r="M481" s="5" t="s">
        <v>819</v>
      </c>
      <c r="N481" s="5" t="s">
        <v>61</v>
      </c>
      <c r="O481" s="5" t="s">
        <v>41</v>
      </c>
      <c r="P481" s="5" t="str">
        <f>IF(hospital_patient_unclean_500__2[[#This Row],[Age]]&lt;18,"0-17",IF(hospital_patient_unclean_500__2[[#This Row],[Age]]&lt;36,"18-35",IF(hospital_patient_unclean_500__2[[#This Row],[Age]]&lt;51,"36-50",IF(hospital_patient_unclean_500__2[[#This Row],[Age]]&lt;66,"51-65","66+"))))</f>
        <v>66+</v>
      </c>
    </row>
    <row r="482" spans="1:16" x14ac:dyDescent="0.3">
      <c r="A482" s="5" t="s">
        <v>795</v>
      </c>
      <c r="B482" s="5" t="s">
        <v>796</v>
      </c>
      <c r="C482" s="6">
        <v>79</v>
      </c>
      <c r="D482" s="5" t="s">
        <v>51</v>
      </c>
      <c r="E482" s="5" t="s">
        <v>124</v>
      </c>
      <c r="F482" s="5" t="s">
        <v>19</v>
      </c>
      <c r="G482" s="5" t="s">
        <v>158</v>
      </c>
      <c r="H482" s="7">
        <v>45840</v>
      </c>
      <c r="I482" s="7">
        <v>45853</v>
      </c>
      <c r="J482" s="5" t="s">
        <v>267</v>
      </c>
      <c r="K482" s="5" t="s">
        <v>268</v>
      </c>
      <c r="L482" s="8">
        <v>80052.56</v>
      </c>
      <c r="M482" s="5" t="s">
        <v>60</v>
      </c>
      <c r="N482" s="5" t="s">
        <v>61</v>
      </c>
      <c r="O482" s="5" t="s">
        <v>820</v>
      </c>
      <c r="P482" s="5" t="str">
        <f>IF(hospital_patient_unclean_500__2[[#This Row],[Age]]&lt;18,"0-17",IF(hospital_patient_unclean_500__2[[#This Row],[Age]]&lt;36,"18-35",IF(hospital_patient_unclean_500__2[[#This Row],[Age]]&lt;51,"36-50",IF(hospital_patient_unclean_500__2[[#This Row],[Age]]&lt;66,"51-65","66+"))))</f>
        <v>66+</v>
      </c>
    </row>
    <row r="483" spans="1:16" x14ac:dyDescent="0.3">
      <c r="A483" s="5" t="s">
        <v>866</v>
      </c>
      <c r="B483" s="5" t="s">
        <v>827</v>
      </c>
      <c r="C483" s="6">
        <v>76</v>
      </c>
      <c r="D483" s="5" t="s">
        <v>17</v>
      </c>
      <c r="E483" s="5" t="s">
        <v>43</v>
      </c>
      <c r="F483" s="5" t="s">
        <v>28</v>
      </c>
      <c r="G483" s="5" t="s">
        <v>195</v>
      </c>
      <c r="H483" s="7">
        <v>45736</v>
      </c>
      <c r="I483" s="7">
        <v>45747</v>
      </c>
      <c r="J483" s="5" t="s">
        <v>75</v>
      </c>
      <c r="K483" s="5" t="s">
        <v>76</v>
      </c>
      <c r="L483" s="8">
        <v>256542.3</v>
      </c>
      <c r="M483" s="5" t="s">
        <v>40</v>
      </c>
      <c r="N483" s="5" t="s">
        <v>48</v>
      </c>
      <c r="O483" s="5" t="s">
        <v>41</v>
      </c>
      <c r="P483" s="5" t="str">
        <f>IF(hospital_patient_unclean_500__2[[#This Row],[Age]]&lt;18,"0-17",IF(hospital_patient_unclean_500__2[[#This Row],[Age]]&lt;36,"18-35",IF(hospital_patient_unclean_500__2[[#This Row],[Age]]&lt;51,"36-50",IF(hospital_patient_unclean_500__2[[#This Row],[Age]]&lt;66,"51-65","66+"))))</f>
        <v>66+</v>
      </c>
    </row>
    <row r="484" spans="1:16" x14ac:dyDescent="0.3">
      <c r="A484" s="5" t="s">
        <v>797</v>
      </c>
      <c r="B484" s="5" t="s">
        <v>798</v>
      </c>
      <c r="C484" s="6">
        <v>15</v>
      </c>
      <c r="D484" s="5" t="s">
        <v>17</v>
      </c>
      <c r="E484" s="5" t="s">
        <v>84</v>
      </c>
      <c r="F484" s="5" t="s">
        <v>132</v>
      </c>
      <c r="G484" s="5" t="s">
        <v>138</v>
      </c>
      <c r="H484" s="7">
        <v>45989</v>
      </c>
      <c r="I484" s="7">
        <v>45989</v>
      </c>
      <c r="J484" s="5" t="s">
        <v>139</v>
      </c>
      <c r="K484" s="5" t="s">
        <v>140</v>
      </c>
      <c r="L484" s="8">
        <v>285895.32</v>
      </c>
      <c r="M484" s="5" t="s">
        <v>99</v>
      </c>
      <c r="N484" s="5" t="s">
        <v>48</v>
      </c>
      <c r="O484" s="5" t="s">
        <v>41</v>
      </c>
      <c r="P484" s="5" t="str">
        <f>IF(hospital_patient_unclean_500__2[[#This Row],[Age]]&lt;18,"0-17",IF(hospital_patient_unclean_500__2[[#This Row],[Age]]&lt;36,"18-35",IF(hospital_patient_unclean_500__2[[#This Row],[Age]]&lt;51,"36-50",IF(hospital_patient_unclean_500__2[[#This Row],[Age]]&lt;66,"51-65","66+"))))</f>
        <v>0-17</v>
      </c>
    </row>
    <row r="485" spans="1:16" x14ac:dyDescent="0.3">
      <c r="A485" s="5" t="s">
        <v>799</v>
      </c>
      <c r="B485" s="5" t="s">
        <v>570</v>
      </c>
      <c r="C485" s="6">
        <v>43</v>
      </c>
      <c r="D485" s="5" t="s">
        <v>17</v>
      </c>
      <c r="E485" s="5" t="s">
        <v>819</v>
      </c>
      <c r="F485" s="5" t="s">
        <v>53</v>
      </c>
      <c r="G485" s="5" t="s">
        <v>54</v>
      </c>
      <c r="H485" s="7">
        <v>45985</v>
      </c>
      <c r="I485" s="7">
        <v>46005</v>
      </c>
      <c r="J485" s="5" t="s">
        <v>70</v>
      </c>
      <c r="K485" s="5" t="s">
        <v>71</v>
      </c>
      <c r="L485" s="8">
        <v>222973.23</v>
      </c>
      <c r="M485" s="5" t="s">
        <v>72</v>
      </c>
      <c r="N485" s="5" t="s">
        <v>24</v>
      </c>
      <c r="O485" s="5" t="s">
        <v>93</v>
      </c>
      <c r="P485" s="5" t="str">
        <f>IF(hospital_patient_unclean_500__2[[#This Row],[Age]]&lt;18,"0-17",IF(hospital_patient_unclean_500__2[[#This Row],[Age]]&lt;36,"18-35",IF(hospital_patient_unclean_500__2[[#This Row],[Age]]&lt;51,"36-50",IF(hospital_patient_unclean_500__2[[#This Row],[Age]]&lt;66,"51-65","66+"))))</f>
        <v>36-50</v>
      </c>
    </row>
    <row r="486" spans="1:16" x14ac:dyDescent="0.3">
      <c r="A486" s="5" t="s">
        <v>800</v>
      </c>
      <c r="B486" s="5" t="s">
        <v>819</v>
      </c>
      <c r="C486" s="6">
        <v>44</v>
      </c>
      <c r="D486" s="5" t="s">
        <v>51</v>
      </c>
      <c r="E486" s="5" t="s">
        <v>124</v>
      </c>
      <c r="F486" s="5" t="s">
        <v>19</v>
      </c>
      <c r="G486" s="5" t="s">
        <v>20</v>
      </c>
      <c r="H486" s="7">
        <v>45981</v>
      </c>
      <c r="I486" s="7">
        <v>45989</v>
      </c>
      <c r="J486" s="5" t="s">
        <v>120</v>
      </c>
      <c r="K486" s="5" t="s">
        <v>121</v>
      </c>
      <c r="L486" s="8">
        <v>118716.9</v>
      </c>
      <c r="M486" s="5" t="s">
        <v>32</v>
      </c>
      <c r="N486" s="5" t="s">
        <v>48</v>
      </c>
      <c r="O486" s="5" t="s">
        <v>25</v>
      </c>
      <c r="P486" s="5" t="str">
        <f>IF(hospital_patient_unclean_500__2[[#This Row],[Age]]&lt;18,"0-17",IF(hospital_patient_unclean_500__2[[#This Row],[Age]]&lt;36,"18-35",IF(hospital_patient_unclean_500__2[[#This Row],[Age]]&lt;51,"36-50",IF(hospital_patient_unclean_500__2[[#This Row],[Age]]&lt;66,"51-65","66+"))))</f>
        <v>36-50</v>
      </c>
    </row>
    <row r="487" spans="1:16" x14ac:dyDescent="0.3">
      <c r="A487" s="5" t="s">
        <v>801</v>
      </c>
      <c r="B487" s="5" t="s">
        <v>802</v>
      </c>
      <c r="C487" s="6">
        <v>80</v>
      </c>
      <c r="D487" s="5" t="s">
        <v>51</v>
      </c>
      <c r="E487" s="5" t="s">
        <v>111</v>
      </c>
      <c r="F487" s="5" t="s">
        <v>28</v>
      </c>
      <c r="G487" s="5" t="s">
        <v>195</v>
      </c>
      <c r="H487" s="7">
        <v>45997</v>
      </c>
      <c r="I487" s="7">
        <v>46006</v>
      </c>
      <c r="J487" s="5" t="s">
        <v>75</v>
      </c>
      <c r="K487" s="5" t="s">
        <v>76</v>
      </c>
      <c r="L487" s="8">
        <v>308187.65999999997</v>
      </c>
      <c r="M487" s="5" t="s">
        <v>32</v>
      </c>
      <c r="N487" s="5" t="s">
        <v>65</v>
      </c>
      <c r="O487" s="5" t="s">
        <v>34</v>
      </c>
      <c r="P487" s="5" t="str">
        <f>IF(hospital_patient_unclean_500__2[[#This Row],[Age]]&lt;18,"0-17",IF(hospital_patient_unclean_500__2[[#This Row],[Age]]&lt;36,"18-35",IF(hospital_patient_unclean_500__2[[#This Row],[Age]]&lt;51,"36-50",IF(hospital_patient_unclean_500__2[[#This Row],[Age]]&lt;66,"51-65","66+"))))</f>
        <v>66+</v>
      </c>
    </row>
    <row r="488" spans="1:16" x14ac:dyDescent="0.3">
      <c r="A488" s="5" t="s">
        <v>803</v>
      </c>
      <c r="B488" s="5" t="s">
        <v>804</v>
      </c>
      <c r="C488" s="6">
        <v>38</v>
      </c>
      <c r="D488" s="5" t="s">
        <v>17</v>
      </c>
      <c r="E488" s="5" t="s">
        <v>18</v>
      </c>
      <c r="F488" s="5" t="s">
        <v>28</v>
      </c>
      <c r="G488" s="5" t="s">
        <v>101</v>
      </c>
      <c r="H488" s="7">
        <v>45675</v>
      </c>
      <c r="I488" s="7">
        <v>45682</v>
      </c>
      <c r="J488" s="5" t="s">
        <v>102</v>
      </c>
      <c r="K488" s="5" t="s">
        <v>103</v>
      </c>
      <c r="L488" s="8">
        <v>316292.25</v>
      </c>
      <c r="M488" s="5" t="s">
        <v>47</v>
      </c>
      <c r="N488" s="5" t="s">
        <v>24</v>
      </c>
      <c r="O488" s="5" t="s">
        <v>93</v>
      </c>
      <c r="P488" s="5" t="str">
        <f>IF(hospital_patient_unclean_500__2[[#This Row],[Age]]&lt;18,"0-17",IF(hospital_patient_unclean_500__2[[#This Row],[Age]]&lt;36,"18-35",IF(hospital_patient_unclean_500__2[[#This Row],[Age]]&lt;51,"36-50",IF(hospital_patient_unclean_500__2[[#This Row],[Age]]&lt;66,"51-65","66+"))))</f>
        <v>36-50</v>
      </c>
    </row>
    <row r="489" spans="1:16" x14ac:dyDescent="0.3">
      <c r="A489" s="5" t="s">
        <v>805</v>
      </c>
      <c r="B489" s="5" t="s">
        <v>645</v>
      </c>
      <c r="C489" s="6">
        <v>64</v>
      </c>
      <c r="D489" s="5" t="s">
        <v>17</v>
      </c>
      <c r="E489" s="5" t="s">
        <v>819</v>
      </c>
      <c r="F489" s="5" t="s">
        <v>38</v>
      </c>
      <c r="G489" s="5" t="s">
        <v>79</v>
      </c>
      <c r="H489" s="7">
        <v>45676</v>
      </c>
      <c r="I489" s="7">
        <v>45677</v>
      </c>
      <c r="J489" s="5" t="s">
        <v>828</v>
      </c>
      <c r="K489" s="5" t="s">
        <v>819</v>
      </c>
      <c r="L489" s="8">
        <v>138512.87</v>
      </c>
      <c r="M489" s="5" t="s">
        <v>47</v>
      </c>
      <c r="N489" s="5" t="s">
        <v>24</v>
      </c>
      <c r="O489" s="5" t="s">
        <v>820</v>
      </c>
      <c r="P489" s="5" t="str">
        <f>IF(hospital_patient_unclean_500__2[[#This Row],[Age]]&lt;18,"0-17",IF(hospital_patient_unclean_500__2[[#This Row],[Age]]&lt;36,"18-35",IF(hospital_patient_unclean_500__2[[#This Row],[Age]]&lt;51,"36-50",IF(hospital_patient_unclean_500__2[[#This Row],[Age]]&lt;66,"51-65","66+"))))</f>
        <v>51-65</v>
      </c>
    </row>
    <row r="490" spans="1:16" x14ac:dyDescent="0.3">
      <c r="A490" s="5" t="s">
        <v>806</v>
      </c>
      <c r="B490" s="5" t="s">
        <v>444</v>
      </c>
      <c r="C490" s="6">
        <v>22</v>
      </c>
      <c r="D490" s="5" t="s">
        <v>51</v>
      </c>
      <c r="E490" s="5" t="s">
        <v>37</v>
      </c>
      <c r="F490" s="5" t="s">
        <v>87</v>
      </c>
      <c r="G490" s="5" t="s">
        <v>324</v>
      </c>
      <c r="H490" s="7">
        <v>45961</v>
      </c>
      <c r="I490" s="7">
        <v>45979</v>
      </c>
      <c r="J490" s="5" t="s">
        <v>89</v>
      </c>
      <c r="K490" s="5" t="s">
        <v>92</v>
      </c>
      <c r="L490" s="8">
        <v>238186.54</v>
      </c>
      <c r="M490" s="5" t="s">
        <v>23</v>
      </c>
      <c r="N490" s="5" t="s">
        <v>24</v>
      </c>
      <c r="O490" s="5" t="s">
        <v>25</v>
      </c>
      <c r="P490" s="5" t="str">
        <f>IF(hospital_patient_unclean_500__2[[#This Row],[Age]]&lt;18,"0-17",IF(hospital_patient_unclean_500__2[[#This Row],[Age]]&lt;36,"18-35",IF(hospital_patient_unclean_500__2[[#This Row],[Age]]&lt;51,"36-50",IF(hospital_patient_unclean_500__2[[#This Row],[Age]]&lt;66,"51-65","66+"))))</f>
        <v>18-35</v>
      </c>
    </row>
    <row r="491" spans="1:16" x14ac:dyDescent="0.3">
      <c r="A491" s="5" t="s">
        <v>867</v>
      </c>
      <c r="B491" s="5" t="s">
        <v>807</v>
      </c>
      <c r="C491" s="6">
        <v>81</v>
      </c>
      <c r="D491" s="5" t="s">
        <v>51</v>
      </c>
      <c r="E491" s="5" t="s">
        <v>64</v>
      </c>
      <c r="F491" s="5" t="s">
        <v>87</v>
      </c>
      <c r="G491" s="5" t="s">
        <v>88</v>
      </c>
      <c r="H491" s="7">
        <v>45828</v>
      </c>
      <c r="I491" s="7">
        <v>45844</v>
      </c>
      <c r="J491" s="5" t="s">
        <v>171</v>
      </c>
      <c r="K491" s="5" t="s">
        <v>113</v>
      </c>
      <c r="L491" s="8">
        <v>164538.67000000001</v>
      </c>
      <c r="M491" s="5" t="s">
        <v>23</v>
      </c>
      <c r="N491" s="5" t="s">
        <v>61</v>
      </c>
      <c r="O491" s="5" t="s">
        <v>25</v>
      </c>
      <c r="P491" s="5" t="str">
        <f>IF(hospital_patient_unclean_500__2[[#This Row],[Age]]&lt;18,"0-17",IF(hospital_patient_unclean_500__2[[#This Row],[Age]]&lt;36,"18-35",IF(hospital_patient_unclean_500__2[[#This Row],[Age]]&lt;51,"36-50",IF(hospital_patient_unclean_500__2[[#This Row],[Age]]&lt;66,"51-65","66+"))))</f>
        <v>66+</v>
      </c>
    </row>
    <row r="492" spans="1:16" x14ac:dyDescent="0.3">
      <c r="A492" s="5" t="s">
        <v>808</v>
      </c>
      <c r="B492" s="5" t="s">
        <v>251</v>
      </c>
      <c r="C492" s="6">
        <v>31</v>
      </c>
      <c r="D492" s="5" t="s">
        <v>51</v>
      </c>
      <c r="E492" s="5" t="s">
        <v>68</v>
      </c>
      <c r="F492" s="5" t="s">
        <v>53</v>
      </c>
      <c r="G492" s="5" t="s">
        <v>143</v>
      </c>
      <c r="H492" s="7">
        <v>45844</v>
      </c>
      <c r="I492" s="7">
        <v>45854</v>
      </c>
      <c r="J492" s="5" t="s">
        <v>107</v>
      </c>
      <c r="K492" s="5" t="s">
        <v>108</v>
      </c>
      <c r="L492" s="8">
        <v>265719.40000000002</v>
      </c>
      <c r="M492" s="5" t="s">
        <v>40</v>
      </c>
      <c r="N492" s="5" t="s">
        <v>33</v>
      </c>
      <c r="O492" s="5" t="s">
        <v>820</v>
      </c>
      <c r="P492" s="5" t="str">
        <f>IF(hospital_patient_unclean_500__2[[#This Row],[Age]]&lt;18,"0-17",IF(hospital_patient_unclean_500__2[[#This Row],[Age]]&lt;36,"18-35",IF(hospital_patient_unclean_500__2[[#This Row],[Age]]&lt;51,"36-50",IF(hospital_patient_unclean_500__2[[#This Row],[Age]]&lt;66,"51-65","66+"))))</f>
        <v>18-35</v>
      </c>
    </row>
    <row r="493" spans="1:16" x14ac:dyDescent="0.3">
      <c r="A493" s="5" t="s">
        <v>809</v>
      </c>
      <c r="B493" s="5" t="s">
        <v>286</v>
      </c>
      <c r="C493" s="6">
        <v>75</v>
      </c>
      <c r="D493" s="5" t="s">
        <v>51</v>
      </c>
      <c r="E493" s="5" t="s">
        <v>111</v>
      </c>
      <c r="F493" s="5" t="s">
        <v>132</v>
      </c>
      <c r="G493" s="5" t="s">
        <v>223</v>
      </c>
      <c r="H493" s="7">
        <v>45923</v>
      </c>
      <c r="I493" s="7">
        <v>45937</v>
      </c>
      <c r="J493" s="5" t="s">
        <v>139</v>
      </c>
      <c r="K493" s="5" t="s">
        <v>140</v>
      </c>
      <c r="L493" s="8">
        <v>189134.85</v>
      </c>
      <c r="M493" s="5" t="s">
        <v>60</v>
      </c>
      <c r="N493" s="5" t="s">
        <v>61</v>
      </c>
      <c r="O493" s="5" t="s">
        <v>820</v>
      </c>
      <c r="P493" s="5" t="str">
        <f>IF(hospital_patient_unclean_500__2[[#This Row],[Age]]&lt;18,"0-17",IF(hospital_patient_unclean_500__2[[#This Row],[Age]]&lt;36,"18-35",IF(hospital_patient_unclean_500__2[[#This Row],[Age]]&lt;51,"36-50",IF(hospital_patient_unclean_500__2[[#This Row],[Age]]&lt;66,"51-65","66+"))))</f>
        <v>66+</v>
      </c>
    </row>
    <row r="494" spans="1:16" x14ac:dyDescent="0.3">
      <c r="A494" s="5" t="s">
        <v>810</v>
      </c>
      <c r="B494" s="5" t="s">
        <v>633</v>
      </c>
      <c r="C494" s="6">
        <v>41</v>
      </c>
      <c r="D494" s="5" t="s">
        <v>17</v>
      </c>
      <c r="E494" s="5" t="s">
        <v>37</v>
      </c>
      <c r="F494" s="5" t="s">
        <v>53</v>
      </c>
      <c r="G494" s="5" t="s">
        <v>143</v>
      </c>
      <c r="H494" s="7">
        <v>45706</v>
      </c>
      <c r="I494" s="7">
        <v>45712</v>
      </c>
      <c r="J494" s="5" t="s">
        <v>200</v>
      </c>
      <c r="K494" s="5" t="s">
        <v>201</v>
      </c>
      <c r="L494" s="8">
        <v>5470.34</v>
      </c>
      <c r="M494" s="5" t="s">
        <v>819</v>
      </c>
      <c r="N494" s="5" t="s">
        <v>48</v>
      </c>
      <c r="O494" s="5" t="s">
        <v>34</v>
      </c>
      <c r="P494" s="5" t="str">
        <f>IF(hospital_patient_unclean_500__2[[#This Row],[Age]]&lt;18,"0-17",IF(hospital_patient_unclean_500__2[[#This Row],[Age]]&lt;36,"18-35",IF(hospital_patient_unclean_500__2[[#This Row],[Age]]&lt;51,"36-50",IF(hospital_patient_unclean_500__2[[#This Row],[Age]]&lt;66,"51-65","66+"))))</f>
        <v>36-50</v>
      </c>
    </row>
    <row r="495" spans="1:16" x14ac:dyDescent="0.3">
      <c r="A495" s="5" t="s">
        <v>811</v>
      </c>
      <c r="B495" s="5" t="s">
        <v>668</v>
      </c>
      <c r="C495" s="6">
        <v>14</v>
      </c>
      <c r="D495" s="5" t="s">
        <v>51</v>
      </c>
      <c r="E495" s="5" t="s">
        <v>68</v>
      </c>
      <c r="F495" s="5" t="s">
        <v>28</v>
      </c>
      <c r="G495" s="5" t="s">
        <v>29</v>
      </c>
      <c r="H495" s="7">
        <v>45716</v>
      </c>
      <c r="I495" s="7">
        <v>45721</v>
      </c>
      <c r="J495" s="5" t="s">
        <v>102</v>
      </c>
      <c r="K495" s="5" t="s">
        <v>103</v>
      </c>
      <c r="L495" s="8">
        <v>192719.37</v>
      </c>
      <c r="M495" s="5" t="s">
        <v>60</v>
      </c>
      <c r="N495" s="5" t="s">
        <v>24</v>
      </c>
      <c r="O495" s="5" t="s">
        <v>25</v>
      </c>
      <c r="P495" s="5" t="str">
        <f>IF(hospital_patient_unclean_500__2[[#This Row],[Age]]&lt;18,"0-17",IF(hospital_patient_unclean_500__2[[#This Row],[Age]]&lt;36,"18-35",IF(hospital_patient_unclean_500__2[[#This Row],[Age]]&lt;51,"36-50",IF(hospital_patient_unclean_500__2[[#This Row],[Age]]&lt;66,"51-65","66+"))))</f>
        <v>0-17</v>
      </c>
    </row>
    <row r="496" spans="1:16" x14ac:dyDescent="0.3">
      <c r="A496" s="5" t="s">
        <v>812</v>
      </c>
      <c r="B496" s="5" t="s">
        <v>509</v>
      </c>
      <c r="C496" s="6">
        <v>64</v>
      </c>
      <c r="D496" s="5" t="s">
        <v>51</v>
      </c>
      <c r="E496" s="5" t="s">
        <v>37</v>
      </c>
      <c r="F496" s="5" t="s">
        <v>53</v>
      </c>
      <c r="G496" s="5" t="s">
        <v>69</v>
      </c>
      <c r="H496" s="7">
        <v>45785</v>
      </c>
      <c r="I496" s="7">
        <v>45794</v>
      </c>
      <c r="J496" s="5" t="s">
        <v>107</v>
      </c>
      <c r="K496" s="5" t="s">
        <v>819</v>
      </c>
      <c r="L496" s="8">
        <v>298327.53999999998</v>
      </c>
      <c r="M496" s="5" t="s">
        <v>60</v>
      </c>
      <c r="N496" s="5" t="s">
        <v>819</v>
      </c>
      <c r="O496" s="5" t="s">
        <v>34</v>
      </c>
      <c r="P496" s="5" t="str">
        <f>IF(hospital_patient_unclean_500__2[[#This Row],[Age]]&lt;18,"0-17",IF(hospital_patient_unclean_500__2[[#This Row],[Age]]&lt;36,"18-35",IF(hospital_patient_unclean_500__2[[#This Row],[Age]]&lt;51,"36-50",IF(hospital_patient_unclean_500__2[[#This Row],[Age]]&lt;66,"51-65","66+"))))</f>
        <v>51-65</v>
      </c>
    </row>
    <row r="497" spans="1:16" x14ac:dyDescent="0.3">
      <c r="A497" s="5" t="s">
        <v>813</v>
      </c>
      <c r="B497" s="5" t="s">
        <v>412</v>
      </c>
      <c r="C497" s="6">
        <v>67</v>
      </c>
      <c r="D497" s="5" t="s">
        <v>17</v>
      </c>
      <c r="E497" s="5" t="s">
        <v>43</v>
      </c>
      <c r="F497" s="5" t="s">
        <v>19</v>
      </c>
      <c r="G497" s="5" t="s">
        <v>105</v>
      </c>
      <c r="H497" s="7">
        <v>45842</v>
      </c>
      <c r="I497" s="7">
        <v>45982</v>
      </c>
      <c r="J497" s="5" t="s">
        <v>21</v>
      </c>
      <c r="K497" s="5" t="s">
        <v>22</v>
      </c>
      <c r="L497" s="8">
        <v>64061.41</v>
      </c>
      <c r="M497" s="5" t="s">
        <v>40</v>
      </c>
      <c r="N497" s="5" t="s">
        <v>24</v>
      </c>
      <c r="O497" s="5" t="s">
        <v>820</v>
      </c>
      <c r="P497" s="5" t="str">
        <f>IF(hospital_patient_unclean_500__2[[#This Row],[Age]]&lt;18,"0-17",IF(hospital_patient_unclean_500__2[[#This Row],[Age]]&lt;36,"18-35",IF(hospital_patient_unclean_500__2[[#This Row],[Age]]&lt;51,"36-50",IF(hospital_patient_unclean_500__2[[#This Row],[Age]]&lt;66,"51-65","66+"))))</f>
        <v>66+</v>
      </c>
    </row>
    <row r="498" spans="1:16" x14ac:dyDescent="0.3">
      <c r="A498" s="5" t="s">
        <v>814</v>
      </c>
      <c r="B498" s="5" t="s">
        <v>231</v>
      </c>
      <c r="C498" s="6">
        <v>12</v>
      </c>
      <c r="D498" s="5" t="s">
        <v>17</v>
      </c>
      <c r="E498" s="5" t="s">
        <v>68</v>
      </c>
      <c r="F498" s="5" t="s">
        <v>44</v>
      </c>
      <c r="G498" s="5" t="s">
        <v>153</v>
      </c>
      <c r="H498" s="7">
        <v>45898</v>
      </c>
      <c r="I498" s="7">
        <v>45903</v>
      </c>
      <c r="J498" s="5" t="s">
        <v>154</v>
      </c>
      <c r="K498" s="5" t="s">
        <v>155</v>
      </c>
      <c r="L498" s="8">
        <v>156597.57999999999</v>
      </c>
      <c r="M498" s="5" t="s">
        <v>40</v>
      </c>
      <c r="N498" s="5" t="s">
        <v>65</v>
      </c>
      <c r="O498" s="5" t="s">
        <v>25</v>
      </c>
      <c r="P498" s="5" t="str">
        <f>IF(hospital_patient_unclean_500__2[[#This Row],[Age]]&lt;18,"0-17",IF(hospital_patient_unclean_500__2[[#This Row],[Age]]&lt;36,"18-35",IF(hospital_patient_unclean_500__2[[#This Row],[Age]]&lt;51,"36-50",IF(hospital_patient_unclean_500__2[[#This Row],[Age]]&lt;66,"51-65","66+"))))</f>
        <v>0-17</v>
      </c>
    </row>
    <row r="499" spans="1:16" x14ac:dyDescent="0.3">
      <c r="A499" s="5" t="s">
        <v>815</v>
      </c>
      <c r="B499" s="5" t="s">
        <v>708</v>
      </c>
      <c r="C499" s="6">
        <v>12</v>
      </c>
      <c r="D499" s="5" t="s">
        <v>17</v>
      </c>
      <c r="E499" s="5" t="s">
        <v>68</v>
      </c>
      <c r="F499" s="5" t="s">
        <v>28</v>
      </c>
      <c r="G499" s="5" t="s">
        <v>29</v>
      </c>
      <c r="H499" s="7">
        <v>45827</v>
      </c>
      <c r="I499" s="7">
        <v>45958</v>
      </c>
      <c r="J499" s="5" t="s">
        <v>102</v>
      </c>
      <c r="K499" s="5" t="s">
        <v>103</v>
      </c>
      <c r="L499" s="8">
        <v>314197.02</v>
      </c>
      <c r="M499" s="5" t="s">
        <v>72</v>
      </c>
      <c r="N499" s="5" t="s">
        <v>48</v>
      </c>
      <c r="O499" s="5" t="s">
        <v>25</v>
      </c>
      <c r="P499" s="5" t="str">
        <f>IF(hospital_patient_unclean_500__2[[#This Row],[Age]]&lt;18,"0-17",IF(hospital_patient_unclean_500__2[[#This Row],[Age]]&lt;36,"18-35",IF(hospital_patient_unclean_500__2[[#This Row],[Age]]&lt;51,"36-50",IF(hospital_patient_unclean_500__2[[#This Row],[Age]]&lt;66,"51-65","66+"))))</f>
        <v>0-17</v>
      </c>
    </row>
    <row r="500" spans="1:16" x14ac:dyDescent="0.3">
      <c r="A500" s="5" t="s">
        <v>816</v>
      </c>
      <c r="B500" s="5" t="s">
        <v>817</v>
      </c>
      <c r="C500" s="6">
        <v>35</v>
      </c>
      <c r="D500" s="5" t="s">
        <v>17</v>
      </c>
      <c r="E500" s="5" t="s">
        <v>111</v>
      </c>
      <c r="F500" s="5" t="s">
        <v>28</v>
      </c>
      <c r="G500" s="5" t="s">
        <v>101</v>
      </c>
      <c r="H500" s="7">
        <v>45756</v>
      </c>
      <c r="I500" s="7">
        <v>45924</v>
      </c>
      <c r="J500" s="5" t="s">
        <v>102</v>
      </c>
      <c r="K500" s="5" t="s">
        <v>103</v>
      </c>
      <c r="L500" s="8">
        <v>308766.90999999997</v>
      </c>
      <c r="M500" s="5" t="s">
        <v>60</v>
      </c>
      <c r="N500" s="5" t="s">
        <v>24</v>
      </c>
      <c r="O500" s="5" t="s">
        <v>41</v>
      </c>
      <c r="P500" s="5" t="str">
        <f>IF(hospital_patient_unclean_500__2[[#This Row],[Age]]&lt;18,"0-17",IF(hospital_patient_unclean_500__2[[#This Row],[Age]]&lt;36,"18-35",IF(hospital_patient_unclean_500__2[[#This Row],[Age]]&lt;51,"36-50",IF(hospital_patient_unclean_500__2[[#This Row],[Age]]&lt;66,"51-65","66+"))))</f>
        <v>18-35</v>
      </c>
    </row>
    <row r="501" spans="1:16" x14ac:dyDescent="0.3">
      <c r="A501" s="5" t="s">
        <v>868</v>
      </c>
      <c r="B501" s="5" t="s">
        <v>818</v>
      </c>
      <c r="C501" s="6">
        <v>2</v>
      </c>
      <c r="D501" s="5" t="s">
        <v>51</v>
      </c>
      <c r="E501" s="5" t="s">
        <v>84</v>
      </c>
      <c r="F501" s="5" t="s">
        <v>819</v>
      </c>
      <c r="G501" s="5" t="s">
        <v>158</v>
      </c>
      <c r="H501" s="7">
        <v>45878</v>
      </c>
      <c r="I501" s="7">
        <v>45889</v>
      </c>
      <c r="J501" s="5" t="s">
        <v>267</v>
      </c>
      <c r="K501" s="5" t="s">
        <v>268</v>
      </c>
      <c r="L501" s="8">
        <v>192719.37</v>
      </c>
      <c r="M501" s="5" t="s">
        <v>72</v>
      </c>
      <c r="N501" s="5" t="s">
        <v>65</v>
      </c>
      <c r="O501" s="5" t="s">
        <v>820</v>
      </c>
      <c r="P501" s="5" t="str">
        <f>IF(hospital_patient_unclean_500__2[[#This Row],[Age]]&lt;18,"0-17",IF(hospital_patient_unclean_500__2[[#This Row],[Age]]&lt;36,"18-35",IF(hospital_patient_unclean_500__2[[#This Row],[Age]]&lt;51,"36-50",IF(hospital_patient_unclean_500__2[[#This Row],[Age]]&lt;66,"51-65","66+"))))</f>
        <v>0-17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B3078-2A95-4932-BAF1-BD4BCD7EB2C8}">
  <dimension ref="A1:L60"/>
  <sheetViews>
    <sheetView zoomScale="59" workbookViewId="0">
      <selection activeCell="D19" sqref="D19"/>
    </sheetView>
  </sheetViews>
  <sheetFormatPr defaultRowHeight="14.4" x14ac:dyDescent="0.3"/>
  <cols>
    <col min="1" max="1" width="16.33203125" bestFit="1" customWidth="1"/>
    <col min="2" max="2" width="14.44140625" bestFit="1" customWidth="1"/>
    <col min="5" max="5" width="16.33203125" bestFit="1" customWidth="1"/>
    <col min="6" max="6" width="14.44140625" bestFit="1" customWidth="1"/>
    <col min="9" max="9" width="21.21875" bestFit="1" customWidth="1"/>
    <col min="10" max="10" width="14.44140625" bestFit="1" customWidth="1"/>
  </cols>
  <sheetData>
    <row r="1" spans="1:12" ht="23.4" x14ac:dyDescent="0.45">
      <c r="A1" s="16" t="s">
        <v>879</v>
      </c>
      <c r="B1" s="16"/>
      <c r="C1" s="16"/>
      <c r="D1" s="16"/>
      <c r="E1" s="16"/>
      <c r="F1" s="16"/>
      <c r="G1" s="16"/>
      <c r="H1" s="16"/>
      <c r="I1" s="16"/>
      <c r="J1" s="16"/>
      <c r="K1" s="16"/>
      <c r="L1" s="16"/>
    </row>
    <row r="2" spans="1:12" x14ac:dyDescent="0.3">
      <c r="A2" s="17" t="s">
        <v>880</v>
      </c>
      <c r="B2" s="17"/>
      <c r="C2" s="17"/>
      <c r="D2" s="17"/>
      <c r="E2" s="17"/>
      <c r="F2" s="17"/>
      <c r="G2" s="17"/>
      <c r="H2" s="17"/>
      <c r="I2" s="17"/>
      <c r="J2" s="17"/>
      <c r="K2" s="17"/>
      <c r="L2" s="17"/>
    </row>
    <row r="3" spans="1:12" x14ac:dyDescent="0.3">
      <c r="A3" s="15" t="s">
        <v>881</v>
      </c>
      <c r="B3" s="15"/>
      <c r="C3" s="15"/>
      <c r="D3" s="2"/>
      <c r="E3" s="15" t="s">
        <v>882</v>
      </c>
      <c r="F3" s="15"/>
      <c r="G3" s="15"/>
      <c r="H3" s="2"/>
      <c r="I3" s="15" t="s">
        <v>883</v>
      </c>
      <c r="J3" s="15"/>
      <c r="K3" s="15"/>
      <c r="L3" s="15"/>
    </row>
    <row r="4" spans="1:12" x14ac:dyDescent="0.3">
      <c r="A4" s="10" t="s">
        <v>869</v>
      </c>
      <c r="B4" s="2" t="s">
        <v>876</v>
      </c>
      <c r="C4" s="2"/>
      <c r="D4" s="2"/>
      <c r="E4" s="10" t="s">
        <v>3</v>
      </c>
      <c r="F4" s="2" t="s">
        <v>876</v>
      </c>
      <c r="G4" s="2"/>
      <c r="H4" s="2"/>
      <c r="I4" s="10" t="s">
        <v>4</v>
      </c>
      <c r="J4" s="2" t="s">
        <v>877</v>
      </c>
      <c r="K4" s="2"/>
      <c r="L4" s="2"/>
    </row>
    <row r="5" spans="1:12" x14ac:dyDescent="0.3">
      <c r="A5" s="2" t="s">
        <v>870</v>
      </c>
      <c r="B5" s="19">
        <v>82</v>
      </c>
      <c r="C5" s="2"/>
      <c r="D5" s="2"/>
      <c r="E5" s="2" t="s">
        <v>51</v>
      </c>
      <c r="F5" s="19">
        <v>235</v>
      </c>
      <c r="G5" s="2"/>
      <c r="H5" s="2"/>
      <c r="I5" s="2" t="s">
        <v>84</v>
      </c>
      <c r="J5" s="11">
        <v>8135413.2600000016</v>
      </c>
      <c r="K5" s="2"/>
      <c r="L5" s="2"/>
    </row>
    <row r="6" spans="1:12" x14ac:dyDescent="0.3">
      <c r="A6" s="2" t="s">
        <v>871</v>
      </c>
      <c r="B6" s="19">
        <v>99</v>
      </c>
      <c r="C6" s="2"/>
      <c r="D6" s="2"/>
      <c r="E6" s="2" t="s">
        <v>17</v>
      </c>
      <c r="F6" s="19">
        <v>243</v>
      </c>
      <c r="G6" s="2"/>
      <c r="H6" s="2"/>
      <c r="I6" s="2" t="s">
        <v>43</v>
      </c>
      <c r="J6" s="11">
        <v>6269785.9500000011</v>
      </c>
      <c r="K6" s="2"/>
      <c r="L6" s="2"/>
    </row>
    <row r="7" spans="1:12" x14ac:dyDescent="0.3">
      <c r="A7" s="2" t="s">
        <v>872</v>
      </c>
      <c r="B7" s="19">
        <v>120</v>
      </c>
      <c r="C7" s="2"/>
      <c r="D7" s="2"/>
      <c r="E7" s="2" t="s">
        <v>819</v>
      </c>
      <c r="F7" s="19">
        <v>12</v>
      </c>
      <c r="G7" s="2"/>
      <c r="H7" s="2"/>
      <c r="I7" s="2" t="s">
        <v>634</v>
      </c>
      <c r="J7" s="11">
        <v>154000.01</v>
      </c>
      <c r="K7" s="2"/>
      <c r="L7" s="2"/>
    </row>
    <row r="8" spans="1:12" x14ac:dyDescent="0.3">
      <c r="A8" s="2" t="s">
        <v>873</v>
      </c>
      <c r="B8" s="19">
        <v>78</v>
      </c>
      <c r="C8" s="2"/>
      <c r="D8" s="2"/>
      <c r="E8" s="2" t="s">
        <v>96</v>
      </c>
      <c r="F8" s="19">
        <v>10</v>
      </c>
      <c r="G8" s="2"/>
      <c r="H8" s="2"/>
      <c r="I8" s="2" t="s">
        <v>532</v>
      </c>
      <c r="J8" s="11">
        <v>521506.35000000003</v>
      </c>
      <c r="K8" s="2"/>
      <c r="L8" s="2"/>
    </row>
    <row r="9" spans="1:12" x14ac:dyDescent="0.3">
      <c r="A9" s="2" t="s">
        <v>874</v>
      </c>
      <c r="B9" s="19">
        <v>121</v>
      </c>
      <c r="C9" s="2"/>
      <c r="D9" s="2"/>
      <c r="E9" s="2" t="s">
        <v>875</v>
      </c>
      <c r="F9" s="19">
        <v>500</v>
      </c>
      <c r="G9" s="2"/>
      <c r="H9" s="2"/>
      <c r="I9" s="2" t="s">
        <v>177</v>
      </c>
      <c r="J9" s="11">
        <v>443035.77</v>
      </c>
      <c r="K9" s="2"/>
      <c r="L9" s="2"/>
    </row>
    <row r="10" spans="1:12" x14ac:dyDescent="0.3">
      <c r="A10" s="2" t="s">
        <v>875</v>
      </c>
      <c r="B10" s="19">
        <v>500</v>
      </c>
      <c r="C10" s="2"/>
      <c r="D10" s="2"/>
      <c r="E10" s="2"/>
      <c r="F10" s="2"/>
      <c r="G10" s="2"/>
      <c r="H10" s="2"/>
      <c r="I10" s="2" t="s">
        <v>68</v>
      </c>
      <c r="J10" s="11">
        <v>9398012.5499999989</v>
      </c>
      <c r="K10" s="2"/>
      <c r="L10" s="2"/>
    </row>
    <row r="11" spans="1:12" x14ac:dyDescent="0.3">
      <c r="A11" s="2"/>
      <c r="B11" s="2"/>
      <c r="C11" s="2"/>
      <c r="D11" s="2"/>
      <c r="E11" s="2"/>
      <c r="F11" s="2"/>
      <c r="G11" s="2"/>
      <c r="H11" s="2"/>
      <c r="I11" s="2" t="s">
        <v>18</v>
      </c>
      <c r="J11" s="11">
        <v>8899813.6699999999</v>
      </c>
      <c r="K11" s="2"/>
      <c r="L11" s="2"/>
    </row>
    <row r="12" spans="1:12" x14ac:dyDescent="0.3">
      <c r="A12" s="2"/>
      <c r="B12" s="2"/>
      <c r="C12" s="2"/>
      <c r="D12" s="2"/>
      <c r="E12" s="2"/>
      <c r="F12" s="2"/>
      <c r="G12" s="2"/>
      <c r="H12" s="2"/>
      <c r="I12" s="2" t="s">
        <v>52</v>
      </c>
      <c r="J12" s="11">
        <v>7857703.6599999992</v>
      </c>
      <c r="K12" s="2"/>
      <c r="L12" s="2"/>
    </row>
    <row r="13" spans="1:12" x14ac:dyDescent="0.3">
      <c r="A13" s="2"/>
      <c r="B13" s="2"/>
      <c r="C13" s="2"/>
      <c r="D13" s="2"/>
      <c r="E13" s="2"/>
      <c r="F13" s="2"/>
      <c r="G13" s="2"/>
      <c r="H13" s="2"/>
      <c r="I13" s="2" t="s">
        <v>111</v>
      </c>
      <c r="J13" s="11">
        <v>10731009.540000001</v>
      </c>
      <c r="K13" s="2"/>
      <c r="L13" s="2"/>
    </row>
    <row r="14" spans="1:12" x14ac:dyDescent="0.3">
      <c r="A14" s="2"/>
      <c r="B14" s="2"/>
      <c r="C14" s="2"/>
      <c r="D14" s="2"/>
      <c r="E14" s="2"/>
      <c r="F14" s="2"/>
      <c r="G14" s="2"/>
      <c r="H14" s="2"/>
      <c r="I14" s="2" t="s">
        <v>37</v>
      </c>
      <c r="J14" s="11">
        <v>9158723.339999998</v>
      </c>
      <c r="K14" s="2"/>
      <c r="L14" s="2"/>
    </row>
    <row r="15" spans="1:12" x14ac:dyDescent="0.3">
      <c r="A15" s="2"/>
      <c r="B15" s="2"/>
      <c r="C15" s="2"/>
      <c r="D15" s="2"/>
      <c r="E15" s="2"/>
      <c r="F15" s="2"/>
      <c r="G15" s="2"/>
      <c r="H15" s="2"/>
      <c r="I15" s="2" t="s">
        <v>124</v>
      </c>
      <c r="J15" s="11">
        <v>8013128.4500000002</v>
      </c>
      <c r="K15" s="2"/>
      <c r="L15" s="2"/>
    </row>
    <row r="16" spans="1:12" x14ac:dyDescent="0.3">
      <c r="A16" s="2"/>
      <c r="B16" s="2"/>
      <c r="C16" s="2"/>
      <c r="D16" s="2"/>
      <c r="E16" s="2"/>
      <c r="F16" s="2"/>
      <c r="G16" s="2"/>
      <c r="H16" s="2"/>
      <c r="I16" s="2" t="s">
        <v>64</v>
      </c>
      <c r="J16" s="11">
        <v>9017466.9399999995</v>
      </c>
      <c r="K16" s="2"/>
      <c r="L16" s="2"/>
    </row>
    <row r="17" spans="1:12" x14ac:dyDescent="0.3">
      <c r="A17" s="2"/>
      <c r="B17" s="2"/>
      <c r="C17" s="2"/>
      <c r="D17" s="2"/>
      <c r="E17" s="2"/>
      <c r="F17" s="2"/>
      <c r="G17" s="2"/>
      <c r="H17" s="2"/>
      <c r="I17" s="2" t="s">
        <v>86</v>
      </c>
      <c r="J17" s="11">
        <v>9721719.9600000009</v>
      </c>
      <c r="K17" s="2"/>
      <c r="L17" s="2"/>
    </row>
    <row r="18" spans="1:12" x14ac:dyDescent="0.3">
      <c r="A18" s="2"/>
      <c r="B18" s="2"/>
      <c r="C18" s="2"/>
      <c r="D18" s="2"/>
      <c r="E18" s="2"/>
      <c r="F18" s="2"/>
      <c r="G18" s="2"/>
      <c r="H18" s="2"/>
      <c r="I18" s="2" t="s">
        <v>819</v>
      </c>
      <c r="J18" s="11">
        <v>3629372.4600000004</v>
      </c>
      <c r="K18" s="2"/>
      <c r="L18" s="2"/>
    </row>
    <row r="19" spans="1:12" x14ac:dyDescent="0.3">
      <c r="I19" s="2" t="s">
        <v>875</v>
      </c>
      <c r="J19" s="11">
        <v>91950691.909999982</v>
      </c>
    </row>
    <row r="20" spans="1:12" x14ac:dyDescent="0.3">
      <c r="J20" s="12"/>
    </row>
    <row r="21" spans="1:12" x14ac:dyDescent="0.3">
      <c r="J21" s="12"/>
    </row>
    <row r="22" spans="1:12" x14ac:dyDescent="0.3">
      <c r="J22" s="12"/>
    </row>
    <row r="23" spans="1:12" x14ac:dyDescent="0.3">
      <c r="A23" s="15" t="s">
        <v>884</v>
      </c>
      <c r="B23" s="15"/>
      <c r="C23" s="15"/>
      <c r="E23" s="15" t="s">
        <v>885</v>
      </c>
      <c r="F23" s="15"/>
      <c r="G23" s="15"/>
      <c r="I23" s="15" t="s">
        <v>886</v>
      </c>
      <c r="J23" s="15"/>
      <c r="K23" s="15"/>
      <c r="L23" s="15"/>
    </row>
    <row r="24" spans="1:12" x14ac:dyDescent="0.3">
      <c r="A24" s="9" t="s">
        <v>6</v>
      </c>
      <c r="B24" t="s">
        <v>878</v>
      </c>
      <c r="E24" s="9" t="s">
        <v>12</v>
      </c>
      <c r="F24" t="s">
        <v>876</v>
      </c>
      <c r="I24" s="9" t="s">
        <v>13</v>
      </c>
      <c r="J24" t="s">
        <v>876</v>
      </c>
    </row>
    <row r="25" spans="1:12" x14ac:dyDescent="0.3">
      <c r="A25" t="s">
        <v>125</v>
      </c>
      <c r="B25" s="1">
        <v>22</v>
      </c>
      <c r="E25" t="s">
        <v>99</v>
      </c>
      <c r="F25" s="1">
        <v>61</v>
      </c>
      <c r="I25" t="s">
        <v>65</v>
      </c>
      <c r="J25" s="1">
        <v>89</v>
      </c>
    </row>
    <row r="26" spans="1:12" x14ac:dyDescent="0.3">
      <c r="A26" t="s">
        <v>54</v>
      </c>
      <c r="B26" s="1">
        <v>21</v>
      </c>
      <c r="E26" t="s">
        <v>72</v>
      </c>
      <c r="F26" s="1">
        <v>67</v>
      </c>
      <c r="I26" t="s">
        <v>33</v>
      </c>
      <c r="J26" s="1">
        <v>102</v>
      </c>
    </row>
    <row r="27" spans="1:12" x14ac:dyDescent="0.3">
      <c r="A27" t="s">
        <v>324</v>
      </c>
      <c r="B27" s="1">
        <v>20</v>
      </c>
      <c r="E27" t="s">
        <v>40</v>
      </c>
      <c r="F27" s="1">
        <v>60</v>
      </c>
      <c r="I27" t="s">
        <v>61</v>
      </c>
      <c r="J27" s="1">
        <v>111</v>
      </c>
    </row>
    <row r="28" spans="1:12" x14ac:dyDescent="0.3">
      <c r="A28" t="s">
        <v>167</v>
      </c>
      <c r="B28" s="1">
        <v>20</v>
      </c>
      <c r="E28" t="s">
        <v>60</v>
      </c>
      <c r="F28" s="1">
        <v>68</v>
      </c>
      <c r="I28" t="s">
        <v>24</v>
      </c>
      <c r="J28" s="1">
        <v>82</v>
      </c>
    </row>
    <row r="29" spans="1:12" x14ac:dyDescent="0.3">
      <c r="A29" t="s">
        <v>88</v>
      </c>
      <c r="B29" s="1">
        <v>15</v>
      </c>
      <c r="E29" t="s">
        <v>47</v>
      </c>
      <c r="F29" s="1">
        <v>63</v>
      </c>
      <c r="I29" t="s">
        <v>48</v>
      </c>
      <c r="J29" s="1">
        <v>93</v>
      </c>
    </row>
    <row r="30" spans="1:12" x14ac:dyDescent="0.3">
      <c r="A30" t="s">
        <v>158</v>
      </c>
      <c r="B30" s="1">
        <v>19</v>
      </c>
      <c r="E30" t="s">
        <v>32</v>
      </c>
      <c r="F30" s="1">
        <v>104</v>
      </c>
      <c r="I30" t="s">
        <v>819</v>
      </c>
      <c r="J30" s="1">
        <v>21</v>
      </c>
    </row>
    <row r="31" spans="1:12" x14ac:dyDescent="0.3">
      <c r="A31" t="s">
        <v>195</v>
      </c>
      <c r="B31" s="1">
        <v>26</v>
      </c>
      <c r="E31" t="s">
        <v>23</v>
      </c>
      <c r="F31" s="1">
        <v>56</v>
      </c>
      <c r="I31" t="s">
        <v>850</v>
      </c>
      <c r="J31" s="1">
        <v>2</v>
      </c>
    </row>
    <row r="32" spans="1:12" x14ac:dyDescent="0.3">
      <c r="A32" t="s">
        <v>223</v>
      </c>
      <c r="B32" s="1">
        <v>25</v>
      </c>
      <c r="E32" t="s">
        <v>819</v>
      </c>
      <c r="F32" s="1">
        <v>21</v>
      </c>
      <c r="I32" t="s">
        <v>875</v>
      </c>
      <c r="J32" s="1">
        <v>500</v>
      </c>
    </row>
    <row r="33" spans="1:10" x14ac:dyDescent="0.3">
      <c r="A33" t="s">
        <v>69</v>
      </c>
      <c r="B33" s="1">
        <v>21</v>
      </c>
      <c r="E33" t="s">
        <v>875</v>
      </c>
      <c r="F33" s="1">
        <v>500</v>
      </c>
      <c r="J33" s="1"/>
    </row>
    <row r="34" spans="1:10" x14ac:dyDescent="0.3">
      <c r="A34" t="s">
        <v>153</v>
      </c>
      <c r="B34" s="1">
        <v>19</v>
      </c>
      <c r="F34" s="1"/>
      <c r="J34" s="1"/>
    </row>
    <row r="35" spans="1:10" x14ac:dyDescent="0.3">
      <c r="A35" t="s">
        <v>112</v>
      </c>
      <c r="B35" s="1">
        <v>25</v>
      </c>
      <c r="F35" s="1"/>
      <c r="J35" s="1"/>
    </row>
    <row r="36" spans="1:10" x14ac:dyDescent="0.3">
      <c r="A36" t="s">
        <v>45</v>
      </c>
      <c r="B36" s="1">
        <v>28</v>
      </c>
      <c r="F36" s="1"/>
      <c r="J36" s="1"/>
    </row>
    <row r="37" spans="1:10" x14ac:dyDescent="0.3">
      <c r="A37" t="s">
        <v>79</v>
      </c>
      <c r="B37" s="1">
        <v>17</v>
      </c>
      <c r="F37" s="1"/>
      <c r="J37" s="1"/>
    </row>
    <row r="38" spans="1:10" x14ac:dyDescent="0.3">
      <c r="A38" t="s">
        <v>133</v>
      </c>
      <c r="B38" s="1">
        <v>20</v>
      </c>
      <c r="F38" s="1"/>
      <c r="J38" s="1"/>
    </row>
    <row r="39" spans="1:10" x14ac:dyDescent="0.3">
      <c r="A39" t="s">
        <v>20</v>
      </c>
      <c r="B39" s="1">
        <v>27</v>
      </c>
      <c r="F39" s="1"/>
      <c r="J39" s="1"/>
    </row>
    <row r="40" spans="1:10" x14ac:dyDescent="0.3">
      <c r="A40" t="s">
        <v>138</v>
      </c>
      <c r="B40" s="1">
        <v>30</v>
      </c>
      <c r="F40" s="1"/>
      <c r="J40" s="1"/>
    </row>
    <row r="41" spans="1:10" x14ac:dyDescent="0.3">
      <c r="A41" t="s">
        <v>105</v>
      </c>
      <c r="B41" s="1">
        <v>25</v>
      </c>
    </row>
    <row r="42" spans="1:10" x14ac:dyDescent="0.3">
      <c r="A42" t="s">
        <v>29</v>
      </c>
      <c r="B42" s="1">
        <v>32</v>
      </c>
    </row>
    <row r="43" spans="1:10" x14ac:dyDescent="0.3">
      <c r="A43" t="s">
        <v>221</v>
      </c>
      <c r="B43" s="1">
        <v>19</v>
      </c>
    </row>
    <row r="44" spans="1:10" x14ac:dyDescent="0.3">
      <c r="A44" t="s">
        <v>143</v>
      </c>
      <c r="B44" s="1">
        <v>21</v>
      </c>
    </row>
    <row r="45" spans="1:10" x14ac:dyDescent="0.3">
      <c r="A45" t="s">
        <v>101</v>
      </c>
      <c r="B45" s="1">
        <v>25</v>
      </c>
    </row>
    <row r="46" spans="1:10" x14ac:dyDescent="0.3">
      <c r="A46" t="s">
        <v>819</v>
      </c>
      <c r="B46" s="1">
        <v>23</v>
      </c>
    </row>
    <row r="47" spans="1:10" x14ac:dyDescent="0.3">
      <c r="A47" t="s">
        <v>875</v>
      </c>
      <c r="B47" s="1">
        <v>500</v>
      </c>
    </row>
    <row r="48" spans="1:10" x14ac:dyDescent="0.3">
      <c r="B48" s="1"/>
    </row>
    <row r="49" spans="1:12" x14ac:dyDescent="0.3">
      <c r="B49" s="1"/>
    </row>
    <row r="50" spans="1:12" x14ac:dyDescent="0.3">
      <c r="B50" s="1"/>
    </row>
    <row r="51" spans="1:12" x14ac:dyDescent="0.3">
      <c r="A51" s="2"/>
      <c r="B51" s="3"/>
      <c r="C51" s="2"/>
      <c r="D51" s="2"/>
      <c r="E51" s="2"/>
      <c r="F51" s="2"/>
      <c r="G51" s="2"/>
      <c r="H51" s="2"/>
      <c r="I51" s="2"/>
      <c r="J51" s="2"/>
      <c r="K51" s="2"/>
      <c r="L51" s="2"/>
    </row>
    <row r="52" spans="1:12" x14ac:dyDescent="0.3">
      <c r="A52" s="2"/>
      <c r="B52" s="3"/>
      <c r="C52" s="2"/>
      <c r="D52" s="2"/>
      <c r="E52" s="2"/>
      <c r="F52" s="2"/>
      <c r="G52" s="2"/>
      <c r="H52" s="2"/>
      <c r="I52" s="2"/>
      <c r="J52" s="2"/>
      <c r="K52" s="2"/>
      <c r="L52" s="2"/>
    </row>
    <row r="53" spans="1:12" x14ac:dyDescent="0.3">
      <c r="A53" s="2"/>
      <c r="B53" s="3"/>
      <c r="C53" s="2"/>
      <c r="D53" s="2"/>
      <c r="E53" s="2"/>
      <c r="F53" s="2"/>
      <c r="G53" s="2"/>
      <c r="H53" s="2"/>
      <c r="I53" s="2"/>
      <c r="J53" s="2"/>
      <c r="K53" s="2"/>
      <c r="L53" s="2"/>
    </row>
    <row r="54" spans="1:12" x14ac:dyDescent="0.3">
      <c r="A54" s="2"/>
      <c r="B54" s="3"/>
      <c r="C54" s="2"/>
      <c r="D54" s="2"/>
      <c r="E54" s="2"/>
      <c r="F54" s="2"/>
      <c r="G54" s="2"/>
      <c r="H54" s="2"/>
      <c r="I54" s="2"/>
      <c r="J54" s="2"/>
      <c r="K54" s="2"/>
      <c r="L54" s="2"/>
    </row>
    <row r="55" spans="1:12" x14ac:dyDescent="0.3">
      <c r="A55" s="2"/>
      <c r="B55" s="3"/>
      <c r="C55" s="2"/>
      <c r="D55" s="2"/>
      <c r="E55" s="2"/>
      <c r="F55" s="2"/>
      <c r="G55" s="2"/>
      <c r="H55" s="2"/>
      <c r="I55" s="2"/>
      <c r="J55" s="2"/>
      <c r="K55" s="2"/>
      <c r="L55" s="2"/>
    </row>
    <row r="56" spans="1:12" x14ac:dyDescent="0.3">
      <c r="A56" s="2"/>
      <c r="B56" s="2"/>
      <c r="C56" s="2"/>
      <c r="D56" s="2"/>
      <c r="E56" s="2"/>
      <c r="F56" s="2"/>
      <c r="G56" s="2"/>
      <c r="H56" s="2"/>
      <c r="I56" s="2"/>
      <c r="J56" s="2"/>
      <c r="K56" s="2"/>
      <c r="L56" s="2"/>
    </row>
    <row r="57" spans="1:12" x14ac:dyDescent="0.3">
      <c r="A57" s="2"/>
      <c r="B57" s="2"/>
      <c r="C57" s="2"/>
      <c r="D57" s="2"/>
      <c r="E57" s="2"/>
      <c r="F57" s="2"/>
      <c r="G57" s="2"/>
      <c r="H57" s="2"/>
      <c r="I57" s="2"/>
      <c r="J57" s="2"/>
      <c r="K57" s="2"/>
      <c r="L57" s="2"/>
    </row>
    <row r="58" spans="1:12" x14ac:dyDescent="0.3">
      <c r="A58" s="2"/>
      <c r="B58" s="2"/>
      <c r="C58" s="2"/>
      <c r="D58" s="2"/>
      <c r="E58" s="2"/>
      <c r="F58" s="2"/>
      <c r="G58" s="2"/>
      <c r="H58" s="2"/>
      <c r="I58" s="2"/>
      <c r="J58" s="2"/>
      <c r="K58" s="2"/>
      <c r="L58" s="2"/>
    </row>
    <row r="59" spans="1:12" x14ac:dyDescent="0.3">
      <c r="A59" s="2"/>
      <c r="B59" s="2"/>
      <c r="C59" s="2"/>
      <c r="D59" s="2"/>
      <c r="E59" s="2"/>
      <c r="F59" s="2"/>
      <c r="G59" s="2"/>
      <c r="H59" s="2"/>
      <c r="I59" s="2"/>
      <c r="J59" s="2"/>
      <c r="K59" s="2"/>
      <c r="L59" s="2"/>
    </row>
    <row r="60" spans="1:12" x14ac:dyDescent="0.3">
      <c r="A60" s="2"/>
      <c r="B60" s="2"/>
      <c r="C60" s="2"/>
      <c r="D60" s="2"/>
      <c r="E60" s="2"/>
      <c r="F60" s="2"/>
      <c r="G60" s="2"/>
      <c r="H60" s="2"/>
      <c r="I60" s="2"/>
      <c r="J60" s="2"/>
      <c r="K60" s="2"/>
      <c r="L60" s="2"/>
    </row>
  </sheetData>
  <mergeCells count="8">
    <mergeCell ref="A23:C23"/>
    <mergeCell ref="E23:G23"/>
    <mergeCell ref="I23:L23"/>
    <mergeCell ref="A1:L1"/>
    <mergeCell ref="A2:L2"/>
    <mergeCell ref="A3:C3"/>
    <mergeCell ref="E3:G3"/>
    <mergeCell ref="I3:L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6461C-EF49-4454-B6B9-425F1FB12C72}">
  <dimension ref="A1:AJ210"/>
  <sheetViews>
    <sheetView tabSelected="1" zoomScale="40" zoomScaleNormal="40" workbookViewId="0">
      <selection activeCell="AL29" sqref="AL29"/>
    </sheetView>
  </sheetViews>
  <sheetFormatPr defaultRowHeight="14.4" x14ac:dyDescent="0.3"/>
  <sheetData>
    <row r="1" spans="1:36" x14ac:dyDescent="0.3">
      <c r="A1" s="14" t="s">
        <v>887</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row>
    <row r="2" spans="1:36" x14ac:dyDescent="0.3">
      <c r="A2" s="14"/>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row>
    <row r="3" spans="1:36" ht="14.4" customHeight="1" x14ac:dyDescent="0.3">
      <c r="A3" s="14"/>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row>
    <row r="4" spans="1:36" ht="14.4" customHeight="1" x14ac:dyDescent="0.3">
      <c r="A4" s="14"/>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row>
    <row r="5" spans="1:36" x14ac:dyDescent="0.3">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row>
    <row r="6" spans="1:36" x14ac:dyDescent="0.3">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row>
    <row r="7" spans="1:36" x14ac:dyDescent="0.3">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row>
    <row r="8" spans="1:36" x14ac:dyDescent="0.3">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row>
    <row r="9" spans="1:36" x14ac:dyDescent="0.3">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row>
    <row r="10" spans="1:36" x14ac:dyDescent="0.3">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row>
    <row r="11" spans="1:36" x14ac:dyDescent="0.3">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row>
    <row r="12" spans="1:36" x14ac:dyDescent="0.3">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row>
    <row r="13" spans="1:36" x14ac:dyDescent="0.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row>
    <row r="14" spans="1:36" x14ac:dyDescent="0.3">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row>
    <row r="15" spans="1:36" x14ac:dyDescent="0.3">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row>
    <row r="16" spans="1:36" x14ac:dyDescent="0.3">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row>
    <row r="17" spans="1:36" x14ac:dyDescent="0.3">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row>
    <row r="18" spans="1:36" x14ac:dyDescent="0.3">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row>
    <row r="19" spans="1:36" x14ac:dyDescent="0.3">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row>
    <row r="20" spans="1:36" x14ac:dyDescent="0.3">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row>
    <row r="21" spans="1:36" x14ac:dyDescent="0.3">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row>
    <row r="22" spans="1:36" x14ac:dyDescent="0.3">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row>
    <row r="23" spans="1:36" x14ac:dyDescent="0.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row>
    <row r="24" spans="1:36" x14ac:dyDescent="0.3">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row>
    <row r="25" spans="1:36" x14ac:dyDescent="0.3">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row>
    <row r="26" spans="1:36" x14ac:dyDescent="0.3">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row>
    <row r="27" spans="1:36" x14ac:dyDescent="0.3">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row>
    <row r="28" spans="1:36" x14ac:dyDescent="0.3">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row>
    <row r="29" spans="1:36" x14ac:dyDescent="0.3">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row>
    <row r="30" spans="1:36" x14ac:dyDescent="0.3">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row>
    <row r="31" spans="1:36" x14ac:dyDescent="0.3">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row>
    <row r="32" spans="1:36" x14ac:dyDescent="0.3">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row>
    <row r="33" spans="1:36" x14ac:dyDescent="0.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row>
    <row r="34" spans="1:36" x14ac:dyDescent="0.3">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row>
    <row r="35" spans="1:36" x14ac:dyDescent="0.3">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row>
    <row r="36" spans="1:36" x14ac:dyDescent="0.3">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row>
    <row r="37" spans="1:36" x14ac:dyDescent="0.3">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row>
    <row r="38" spans="1:36" x14ac:dyDescent="0.3">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row>
    <row r="39" spans="1:36" x14ac:dyDescent="0.3">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row>
    <row r="40" spans="1:36" x14ac:dyDescent="0.3">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row>
    <row r="41" spans="1:36" x14ac:dyDescent="0.3">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row>
    <row r="42" spans="1:36" x14ac:dyDescent="0.3">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row>
    <row r="43" spans="1:36" x14ac:dyDescent="0.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row>
    <row r="44" spans="1:36" x14ac:dyDescent="0.3">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row>
    <row r="45" spans="1:36" x14ac:dyDescent="0.3">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row>
    <row r="46" spans="1:36" x14ac:dyDescent="0.3">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row>
    <row r="47" spans="1:36" x14ac:dyDescent="0.3">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row>
    <row r="48" spans="1:36" x14ac:dyDescent="0.3">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row>
    <row r="49" spans="1:36" x14ac:dyDescent="0.3">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row>
    <row r="50" spans="1:36" x14ac:dyDescent="0.3">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row>
    <row r="51" spans="1:36" x14ac:dyDescent="0.3">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row>
    <row r="52" spans="1:36" x14ac:dyDescent="0.3">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row>
    <row r="53" spans="1:36" x14ac:dyDescent="0.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row>
    <row r="54" spans="1:36" x14ac:dyDescent="0.3">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row>
    <row r="55" spans="1:36" x14ac:dyDescent="0.3">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row>
    <row r="56" spans="1:36" x14ac:dyDescent="0.3">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row>
    <row r="57" spans="1:36" x14ac:dyDescent="0.3">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row>
    <row r="58" spans="1:36" x14ac:dyDescent="0.3">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row>
    <row r="59" spans="1:36" x14ac:dyDescent="0.3">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row>
    <row r="60" spans="1:36" x14ac:dyDescent="0.3">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row>
    <row r="61" spans="1:36" x14ac:dyDescent="0.3">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row>
    <row r="62" spans="1:36" x14ac:dyDescent="0.3">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row>
    <row r="63" spans="1:36" x14ac:dyDescent="0.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row>
    <row r="64" spans="1:36" x14ac:dyDescent="0.3">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row>
    <row r="65" spans="1:36" x14ac:dyDescent="0.3">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row>
    <row r="66" spans="1:36" x14ac:dyDescent="0.3">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row>
    <row r="67" spans="1:36" x14ac:dyDescent="0.3">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row>
    <row r="68" spans="1:36" x14ac:dyDescent="0.3">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row>
    <row r="69" spans="1:36" x14ac:dyDescent="0.3">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row>
    <row r="70" spans="1:36" x14ac:dyDescent="0.3">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row>
    <row r="71" spans="1:36" x14ac:dyDescent="0.3">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row>
    <row r="72" spans="1:36" x14ac:dyDescent="0.3">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row>
    <row r="73" spans="1:36" x14ac:dyDescent="0.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row>
    <row r="74" spans="1:36" x14ac:dyDescent="0.3">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row>
    <row r="75" spans="1:36" x14ac:dyDescent="0.3">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row>
    <row r="76" spans="1:36" x14ac:dyDescent="0.3">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row>
    <row r="77" spans="1:36" x14ac:dyDescent="0.3">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row>
    <row r="78" spans="1:36" x14ac:dyDescent="0.3">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row>
    <row r="79" spans="1:36" x14ac:dyDescent="0.3">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row>
    <row r="80" spans="1:36" x14ac:dyDescent="0.3">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row>
    <row r="81" spans="1:36" x14ac:dyDescent="0.3">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row>
    <row r="82" spans="1:36" x14ac:dyDescent="0.3">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row>
    <row r="83" spans="1:36" x14ac:dyDescent="0.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row>
    <row r="84" spans="1:36" x14ac:dyDescent="0.3">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row>
    <row r="85" spans="1:36" x14ac:dyDescent="0.3">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row>
    <row r="86" spans="1:36" x14ac:dyDescent="0.3">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row>
    <row r="87" spans="1:36" x14ac:dyDescent="0.3">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row>
    <row r="88" spans="1:36" x14ac:dyDescent="0.3">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row>
    <row r="89" spans="1:36" x14ac:dyDescent="0.3">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row>
    <row r="90" spans="1:36" x14ac:dyDescent="0.3">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row>
    <row r="91" spans="1:36" x14ac:dyDescent="0.3">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row>
    <row r="92" spans="1:36" x14ac:dyDescent="0.3">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row>
    <row r="93" spans="1:36" x14ac:dyDescent="0.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row>
    <row r="94" spans="1:36" x14ac:dyDescent="0.3">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row>
    <row r="95" spans="1:36" x14ac:dyDescent="0.3">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row>
    <row r="96" spans="1:36" x14ac:dyDescent="0.3">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row>
    <row r="97" spans="1:36" x14ac:dyDescent="0.3">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row>
    <row r="98" spans="1:36" x14ac:dyDescent="0.3">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row>
    <row r="99" spans="1:36" x14ac:dyDescent="0.3">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row>
    <row r="100" spans="1:36" x14ac:dyDescent="0.3">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row>
    <row r="101" spans="1:36" x14ac:dyDescent="0.3">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row>
    <row r="102" spans="1:36" x14ac:dyDescent="0.3">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row>
    <row r="103" spans="1:36" x14ac:dyDescent="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row>
    <row r="104" spans="1:36" x14ac:dyDescent="0.3">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row>
    <row r="105" spans="1:36" x14ac:dyDescent="0.3">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row>
    <row r="106" spans="1:36" x14ac:dyDescent="0.3">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row>
    <row r="107" spans="1:36" x14ac:dyDescent="0.3">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row>
    <row r="108" spans="1:36" x14ac:dyDescent="0.3">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row>
    <row r="109" spans="1:36" x14ac:dyDescent="0.3">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row>
    <row r="110" spans="1:36" x14ac:dyDescent="0.3">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row>
    <row r="111" spans="1:36" x14ac:dyDescent="0.3">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row>
    <row r="112" spans="1:36" x14ac:dyDescent="0.3">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row>
    <row r="113" spans="1:36" x14ac:dyDescent="0.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row>
    <row r="114" spans="1:36" x14ac:dyDescent="0.3">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row>
    <row r="115" spans="1:36" x14ac:dyDescent="0.3">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row>
    <row r="116" spans="1:36" x14ac:dyDescent="0.3">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row>
    <row r="117" spans="1:36" x14ac:dyDescent="0.3">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row>
    <row r="118" spans="1:36" x14ac:dyDescent="0.3">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row>
    <row r="119" spans="1:36" x14ac:dyDescent="0.3">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row>
    <row r="120" spans="1:36" x14ac:dyDescent="0.3">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row>
    <row r="121" spans="1:36" x14ac:dyDescent="0.3">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row>
    <row r="122" spans="1:36" x14ac:dyDescent="0.3">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row>
    <row r="123" spans="1:36" x14ac:dyDescent="0.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row>
    <row r="124" spans="1:36" x14ac:dyDescent="0.3">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row>
    <row r="125" spans="1:36" x14ac:dyDescent="0.3">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row>
    <row r="126" spans="1:36" x14ac:dyDescent="0.3">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row>
    <row r="127" spans="1:36" x14ac:dyDescent="0.3">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row>
    <row r="128" spans="1:36" x14ac:dyDescent="0.3">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row>
    <row r="129" spans="1:36" x14ac:dyDescent="0.3">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row>
    <row r="130" spans="1:36" x14ac:dyDescent="0.3">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row>
    <row r="131" spans="1:36" x14ac:dyDescent="0.3">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row>
    <row r="132" spans="1:36" x14ac:dyDescent="0.3">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row>
    <row r="133" spans="1:36" x14ac:dyDescent="0.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row>
    <row r="134" spans="1:36" x14ac:dyDescent="0.3">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row>
    <row r="135" spans="1:36" x14ac:dyDescent="0.3">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row>
    <row r="136" spans="1:36" x14ac:dyDescent="0.3">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row>
    <row r="137" spans="1:36" x14ac:dyDescent="0.3">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row>
    <row r="138" spans="1:36" x14ac:dyDescent="0.3">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row>
    <row r="139" spans="1:36" x14ac:dyDescent="0.3">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row>
    <row r="140" spans="1:36" x14ac:dyDescent="0.3">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row>
    <row r="141" spans="1:36" x14ac:dyDescent="0.3">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row>
    <row r="142" spans="1:36" x14ac:dyDescent="0.3">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row>
    <row r="143" spans="1:36" x14ac:dyDescent="0.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row>
    <row r="144" spans="1:36" x14ac:dyDescent="0.3">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row>
    <row r="145" spans="1:36" x14ac:dyDescent="0.3">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row>
    <row r="146" spans="1:36" x14ac:dyDescent="0.3">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row>
    <row r="147" spans="1:36" x14ac:dyDescent="0.3">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row>
    <row r="148" spans="1:36" x14ac:dyDescent="0.3">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row>
    <row r="149" spans="1:36" x14ac:dyDescent="0.3">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row>
    <row r="150" spans="1:36" x14ac:dyDescent="0.3">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row>
    <row r="151" spans="1:36" x14ac:dyDescent="0.3">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row>
    <row r="152" spans="1:36" x14ac:dyDescent="0.3">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row>
    <row r="153" spans="1:36" x14ac:dyDescent="0.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row>
    <row r="154" spans="1:36" x14ac:dyDescent="0.3">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row>
    <row r="155" spans="1:36" x14ac:dyDescent="0.3">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row>
    <row r="156" spans="1:36" x14ac:dyDescent="0.3">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row>
    <row r="157" spans="1:36" x14ac:dyDescent="0.3">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row>
    <row r="158" spans="1:36" x14ac:dyDescent="0.3">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row>
    <row r="159" spans="1:36" x14ac:dyDescent="0.3">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row>
    <row r="160" spans="1:36" x14ac:dyDescent="0.3">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row>
    <row r="161" spans="1:36" x14ac:dyDescent="0.3">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row>
    <row r="162" spans="1:36" x14ac:dyDescent="0.3">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row>
    <row r="163" spans="1:36" x14ac:dyDescent="0.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row>
    <row r="164" spans="1:36" x14ac:dyDescent="0.3">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row>
    <row r="165" spans="1:36" x14ac:dyDescent="0.3">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row>
    <row r="166" spans="1:36" x14ac:dyDescent="0.3">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row>
    <row r="167" spans="1:36" x14ac:dyDescent="0.3">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row>
    <row r="168" spans="1:36" x14ac:dyDescent="0.3">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row>
    <row r="169" spans="1:36" x14ac:dyDescent="0.3">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row>
    <row r="170" spans="1:36" x14ac:dyDescent="0.3">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row>
    <row r="171" spans="1:36" x14ac:dyDescent="0.3">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row>
    <row r="172" spans="1:36" x14ac:dyDescent="0.3">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row>
    <row r="173" spans="1:36" x14ac:dyDescent="0.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row>
    <row r="174" spans="1:36" x14ac:dyDescent="0.3">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row>
    <row r="175" spans="1:36" x14ac:dyDescent="0.3">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row>
    <row r="176" spans="1:36" x14ac:dyDescent="0.3">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row>
    <row r="177" spans="1:36" x14ac:dyDescent="0.3">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row>
    <row r="178" spans="1:36" x14ac:dyDescent="0.3">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row>
    <row r="179" spans="1:36" x14ac:dyDescent="0.3">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row>
    <row r="180" spans="1:36" x14ac:dyDescent="0.3">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row>
    <row r="181" spans="1:36" x14ac:dyDescent="0.3">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row>
    <row r="182" spans="1:36" x14ac:dyDescent="0.3">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row>
    <row r="183" spans="1:36" x14ac:dyDescent="0.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row>
    <row r="184" spans="1:36" x14ac:dyDescent="0.3">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row>
    <row r="185" spans="1:36" x14ac:dyDescent="0.3">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row>
    <row r="186" spans="1:36" x14ac:dyDescent="0.3">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row>
    <row r="187" spans="1:36" x14ac:dyDescent="0.3">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row>
    <row r="188" spans="1:36" x14ac:dyDescent="0.3">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row>
    <row r="189" spans="1:36" x14ac:dyDescent="0.3">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row>
    <row r="190" spans="1:36" x14ac:dyDescent="0.3">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row>
    <row r="191" spans="1:36" x14ac:dyDescent="0.3">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row>
    <row r="192" spans="1:36" x14ac:dyDescent="0.3">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row>
    <row r="193" spans="1:36" x14ac:dyDescent="0.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row>
    <row r="194" spans="1:36" x14ac:dyDescent="0.3">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row>
    <row r="195" spans="1:36" x14ac:dyDescent="0.3">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row>
    <row r="196" spans="1:36" x14ac:dyDescent="0.3">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row>
    <row r="197" spans="1:36" x14ac:dyDescent="0.3">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row>
    <row r="198" spans="1:36" x14ac:dyDescent="0.3">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row>
    <row r="199" spans="1:36" x14ac:dyDescent="0.3">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row>
    <row r="200" spans="1:36" x14ac:dyDescent="0.3">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row>
    <row r="201" spans="1:36" x14ac:dyDescent="0.3">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row>
    <row r="202" spans="1:36" x14ac:dyDescent="0.3">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row>
    <row r="203" spans="1:36" x14ac:dyDescent="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row>
    <row r="204" spans="1:36" x14ac:dyDescent="0.3">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row>
    <row r="205" spans="1:36" x14ac:dyDescent="0.3">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row>
    <row r="206" spans="1:36" x14ac:dyDescent="0.3">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row>
    <row r="207" spans="1:36" x14ac:dyDescent="0.3">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row>
    <row r="208" spans="1:36" x14ac:dyDescent="0.3">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row>
    <row r="209" spans="1:36" x14ac:dyDescent="0.3">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row>
    <row r="210" spans="1:36" x14ac:dyDescent="0.3">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row>
  </sheetData>
  <mergeCells count="2">
    <mergeCell ref="A5:AJ210"/>
    <mergeCell ref="A1:AJ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FDC462-6E9A-462E-809A-E97AB2C974E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hospitalpatientunclean</vt:lpstr>
      <vt:lpstr>hospital_patient_data</vt:lpstr>
      <vt:lpstr>Pivot Summary</vt:lpstr>
      <vt:lpstr>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Ankita Bansal</dc:creator>
  <cp:lastModifiedBy>Ankita Bansal</cp:lastModifiedBy>
  <dcterms:created xsi:type="dcterms:W3CDTF">2026-10-08T05:56:44Z</dcterms:created>
  <dcterms:modified xsi:type="dcterms:W3CDTF">2026-10-11T06:41:14Z</dcterms:modified>
</cp:coreProperties>
</file>