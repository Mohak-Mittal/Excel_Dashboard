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mohak\Downloads\excel data\"/>
    </mc:Choice>
  </mc:AlternateContent>
  <xr:revisionPtr revIDLastSave="0" documentId="13_ncr:1_{7FA8F56A-97E4-4FDB-8941-BE00B8744F6F}" xr6:coauthVersionLast="47" xr6:coauthVersionMax="47" xr10:uidLastSave="{00000000-0000-0000-0000-000000000000}"/>
  <bookViews>
    <workbookView xWindow="-108" yWindow="-108" windowWidth="23256" windowHeight="12456" activeTab="2" xr2:uid="{00000000-000D-0000-FFFF-FFFF00000000}"/>
  </bookViews>
  <sheets>
    <sheet name="Bike Sales" sheetId="1" r:id="rId1"/>
    <sheet name="Table1" sheetId="2" r:id="rId2"/>
    <sheet name="Charts" sheetId="5" r:id="rId3"/>
    <sheet name="Sales Pivot" sheetId="3" r:id="rId4"/>
  </sheets>
  <definedNames>
    <definedName name="ExternalData_1" localSheetId="1" hidden="1">Table1!$A$1:$S$90</definedName>
    <definedName name="Slicer_Age_Group">#N/A</definedName>
    <definedName name="Slicer_Country">#N/A</definedName>
    <definedName name="Slicer_Customer_Gender">#N/A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6" i="5" l="1"/>
  <c r="Q6" i="5"/>
  <c r="M6" i="5"/>
  <c r="I6" i="5"/>
  <c r="E6" i="5"/>
  <c r="A6" i="5"/>
  <c r="Q90" i="2"/>
  <c r="Q89" i="2"/>
  <c r="Q88" i="2"/>
  <c r="Q87" i="2"/>
  <c r="Q86" i="2"/>
  <c r="Q85" i="2"/>
  <c r="Q84" i="2"/>
  <c r="Q83" i="2"/>
  <c r="Q82" i="2"/>
  <c r="Q81" i="2"/>
  <c r="Q80" i="2"/>
  <c r="Q79" i="2"/>
  <c r="Q78" i="2"/>
  <c r="Q77" i="2"/>
  <c r="Q76" i="2"/>
  <c r="Q75" i="2"/>
  <c r="Q74" i="2"/>
  <c r="Q73" i="2"/>
  <c r="Q72" i="2"/>
  <c r="Q71" i="2"/>
  <c r="Q70" i="2"/>
  <c r="Q69" i="2"/>
  <c r="Q68" i="2"/>
  <c r="Q67" i="2"/>
  <c r="Q66" i="2"/>
  <c r="Q65" i="2"/>
  <c r="Q64" i="2"/>
  <c r="Q63" i="2"/>
  <c r="Q62" i="2"/>
  <c r="Q61" i="2"/>
  <c r="Q60" i="2"/>
  <c r="Q59" i="2"/>
  <c r="Q58" i="2"/>
  <c r="Q57" i="2"/>
  <c r="Q56" i="2"/>
  <c r="Q55" i="2"/>
  <c r="Q54" i="2"/>
  <c r="Q53" i="2"/>
  <c r="Q52" i="2"/>
  <c r="Q51" i="2"/>
  <c r="Q50" i="2"/>
  <c r="Q49" i="2"/>
  <c r="Q48" i="2"/>
  <c r="Q47" i="2"/>
  <c r="Q46" i="2"/>
  <c r="Q45" i="2"/>
  <c r="Q44" i="2"/>
  <c r="Q43" i="2"/>
  <c r="Q42" i="2"/>
  <c r="Q41" i="2"/>
  <c r="Q40" i="2"/>
  <c r="Q39" i="2"/>
  <c r="Q38" i="2"/>
  <c r="Q37" i="2"/>
  <c r="Q36" i="2"/>
  <c r="Q35" i="2"/>
  <c r="Q34" i="2"/>
  <c r="Q33" i="2"/>
  <c r="Q32" i="2"/>
  <c r="Q31" i="2"/>
  <c r="Q30" i="2"/>
  <c r="Q29" i="2"/>
  <c r="Q28" i="2"/>
  <c r="Q27" i="2"/>
  <c r="Q26" i="2"/>
  <c r="Q25" i="2"/>
  <c r="Q24" i="2"/>
  <c r="Q23" i="2"/>
  <c r="Q22" i="2"/>
  <c r="Q21" i="2"/>
  <c r="Q20" i="2"/>
  <c r="Q19" i="2"/>
  <c r="Q18" i="2"/>
  <c r="Q17" i="2"/>
  <c r="Q16" i="2"/>
  <c r="Q15" i="2"/>
  <c r="Q14" i="2"/>
  <c r="Q13" i="2"/>
  <c r="Q12" i="2"/>
  <c r="Q11" i="2"/>
  <c r="Q10" i="2"/>
  <c r="Q9" i="2"/>
  <c r="Q8" i="2"/>
  <c r="Q7" i="2"/>
  <c r="Q6" i="2"/>
  <c r="Q5" i="2"/>
  <c r="Q4" i="2"/>
  <c r="Q3" i="2"/>
  <c r="S90" i="2"/>
  <c r="S89" i="2"/>
  <c r="S88" i="2"/>
  <c r="S87" i="2"/>
  <c r="S86" i="2"/>
  <c r="S85" i="2"/>
  <c r="S84" i="2"/>
  <c r="S83" i="2"/>
  <c r="S82" i="2"/>
  <c r="S81" i="2"/>
  <c r="S80" i="2"/>
  <c r="S79" i="2"/>
  <c r="S78" i="2"/>
  <c r="S77" i="2"/>
  <c r="S76" i="2"/>
  <c r="S75" i="2"/>
  <c r="S74" i="2"/>
  <c r="S73" i="2"/>
  <c r="S72" i="2"/>
  <c r="S71" i="2"/>
  <c r="S70" i="2"/>
  <c r="S69" i="2"/>
  <c r="S68" i="2"/>
  <c r="S67" i="2"/>
  <c r="S66" i="2"/>
  <c r="S65" i="2"/>
  <c r="S64" i="2"/>
  <c r="S63" i="2"/>
  <c r="S62" i="2"/>
  <c r="S61" i="2"/>
  <c r="S60" i="2"/>
  <c r="S59" i="2"/>
  <c r="S58" i="2"/>
  <c r="S57" i="2"/>
  <c r="S56" i="2"/>
  <c r="S55" i="2"/>
  <c r="S54" i="2"/>
  <c r="S53" i="2"/>
  <c r="S52" i="2"/>
  <c r="S51" i="2"/>
  <c r="S50" i="2"/>
  <c r="S49"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R90" i="2"/>
  <c r="R89" i="2"/>
  <c r="R88" i="2"/>
  <c r="R87" i="2"/>
  <c r="R86" i="2"/>
  <c r="R85" i="2"/>
  <c r="R84" i="2"/>
  <c r="R83" i="2"/>
  <c r="R82" i="2"/>
  <c r="R81" i="2"/>
  <c r="R80" i="2"/>
  <c r="R79" i="2"/>
  <c r="R78" i="2"/>
  <c r="R77" i="2"/>
  <c r="R76" i="2"/>
  <c r="R75" i="2"/>
  <c r="R74" i="2"/>
  <c r="R73" i="2"/>
  <c r="R72" i="2"/>
  <c r="R71" i="2"/>
  <c r="R70" i="2"/>
  <c r="R69" i="2"/>
  <c r="R68" i="2"/>
  <c r="R67" i="2"/>
  <c r="R66" i="2"/>
  <c r="R65" i="2"/>
  <c r="R64" i="2"/>
  <c r="R63" i="2"/>
  <c r="R62" i="2"/>
  <c r="R61" i="2"/>
  <c r="R60" i="2"/>
  <c r="R59" i="2"/>
  <c r="R58" i="2"/>
  <c r="R57" i="2"/>
  <c r="R56" i="2"/>
  <c r="R55" i="2"/>
  <c r="R54" i="2"/>
  <c r="R53" i="2"/>
  <c r="R52" i="2"/>
  <c r="R51" i="2"/>
  <c r="R50" i="2"/>
  <c r="R49" i="2"/>
  <c r="R48" i="2"/>
  <c r="R47" i="2"/>
  <c r="R46" i="2"/>
  <c r="R45" i="2"/>
  <c r="R44" i="2"/>
  <c r="R43" i="2"/>
  <c r="R42" i="2"/>
  <c r="R41" i="2"/>
  <c r="R40" i="2"/>
  <c r="R39" i="2"/>
  <c r="R38" i="2"/>
  <c r="R37" i="2"/>
  <c r="R36" i="2"/>
  <c r="R35" i="2"/>
  <c r="R34" i="2"/>
  <c r="R33" i="2"/>
  <c r="R32" i="2"/>
  <c r="R31" i="2"/>
  <c r="R30" i="2"/>
  <c r="R29" i="2"/>
  <c r="R28" i="2"/>
  <c r="R27" i="2"/>
  <c r="R26" i="2"/>
  <c r="R25" i="2"/>
  <c r="R24" i="2"/>
  <c r="R23" i="2"/>
  <c r="R22" i="2"/>
  <c r="R21" i="2"/>
  <c r="R20" i="2"/>
  <c r="R19" i="2"/>
  <c r="R18" i="2"/>
  <c r="R17" i="2"/>
  <c r="R16" i="2"/>
  <c r="R15" i="2"/>
  <c r="R14" i="2"/>
  <c r="R13" i="2"/>
  <c r="R12" i="2"/>
  <c r="R11" i="2"/>
  <c r="R10" i="2"/>
  <c r="R9" i="2"/>
  <c r="R8" i="2"/>
  <c r="R7" i="2"/>
  <c r="R6" i="2"/>
  <c r="R5" i="2"/>
  <c r="R4" i="2"/>
  <c r="R3" i="2"/>
  <c r="Q2" i="2"/>
  <c r="S2" i="2"/>
  <c r="R2" i="2"/>
  <c r="S9" i="1"/>
  <c r="R9" i="1"/>
  <c r="R3" i="1"/>
  <c r="R4" i="1"/>
  <c r="R5" i="1"/>
  <c r="R6" i="1"/>
  <c r="R7" i="1"/>
  <c r="R8"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2" i="1"/>
  <c r="S3" i="1"/>
  <c r="S4" i="1"/>
  <c r="S5" i="1"/>
  <c r="S6" i="1"/>
  <c r="S7" i="1"/>
  <c r="S8"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DBA269-2345-475C-98D5-1F19120D638B}"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<sst xmlns="http://schemas.openxmlformats.org/spreadsheetml/2006/main" count="1676" uniqueCount="180">
  <si>
    <t>Sales_Order #</t>
  </si>
  <si>
    <t>Date</t>
  </si>
  <si>
    <t>Day</t>
  </si>
  <si>
    <t>Month</t>
  </si>
  <si>
    <t>Year</t>
  </si>
  <si>
    <t>Customer_Age</t>
  </si>
  <si>
    <t>Age_Group</t>
  </si>
  <si>
    <t>Customer_Gender</t>
  </si>
  <si>
    <t>Country</t>
  </si>
  <si>
    <t>State</t>
  </si>
  <si>
    <t>Product_Category</t>
  </si>
  <si>
    <t>Sub_Category</t>
  </si>
  <si>
    <t>Product_Description</t>
  </si>
  <si>
    <t>Order_Quantity</t>
  </si>
  <si>
    <t xml:space="preserve"> Unit_Cost </t>
  </si>
  <si>
    <t xml:space="preserve"> Unit_Price </t>
  </si>
  <si>
    <t xml:space="preserve"> Profit </t>
  </si>
  <si>
    <t xml:space="preserve"> Cost </t>
  </si>
  <si>
    <t>Revenue</t>
  </si>
  <si>
    <t>000261695</t>
  </si>
  <si>
    <t>December</t>
  </si>
  <si>
    <t>Adults (35-64)</t>
  </si>
  <si>
    <t>F</t>
  </si>
  <si>
    <t>United States</t>
  </si>
  <si>
    <t>California</t>
  </si>
  <si>
    <t>Bikes</t>
  </si>
  <si>
    <t>Mountain Bikes</t>
  </si>
  <si>
    <t>Mountain-200 Black, 46</t>
  </si>
  <si>
    <t>M</t>
  </si>
  <si>
    <t>United Kingdom</t>
  </si>
  <si>
    <t>England</t>
  </si>
  <si>
    <t>Mountain-200 Silver, 42</t>
  </si>
  <si>
    <t>000261697</t>
  </si>
  <si>
    <t xml:space="preserve"> United States</t>
  </si>
  <si>
    <t>Mountain-400-W Silver, 46</t>
  </si>
  <si>
    <t>000261698</t>
  </si>
  <si>
    <t>Young Adults (25-34)</t>
  </si>
  <si>
    <t>Australia</t>
  </si>
  <si>
    <t>New South Wales</t>
  </si>
  <si>
    <t>Mountain-400-W Silver, 42</t>
  </si>
  <si>
    <t>000261699</t>
  </si>
  <si>
    <t>United  States</t>
  </si>
  <si>
    <t>000261700</t>
  </si>
  <si>
    <t>Youth (&lt;25)</t>
  </si>
  <si>
    <t>Mountain-200 Black, 38</t>
  </si>
  <si>
    <t>000261701</t>
  </si>
  <si>
    <t xml:space="preserve">United States </t>
  </si>
  <si>
    <t>Washington</t>
  </si>
  <si>
    <t>000261702</t>
  </si>
  <si>
    <t>000261703</t>
  </si>
  <si>
    <t>000261704</t>
  </si>
  <si>
    <t>Germany</t>
  </si>
  <si>
    <t>Nordrhein-Westfalen</t>
  </si>
  <si>
    <t>000261705</t>
  </si>
  <si>
    <t>Queensland</t>
  </si>
  <si>
    <t>Mountain-200 Silver, 38</t>
  </si>
  <si>
    <t>000261706</t>
  </si>
  <si>
    <t>000261707</t>
  </si>
  <si>
    <t>000261708</t>
  </si>
  <si>
    <t>Canada</t>
  </si>
  <si>
    <t>British Columbia</t>
  </si>
  <si>
    <t>000261709</t>
  </si>
  <si>
    <t>Mountain-200 Black, 42</t>
  </si>
  <si>
    <t>000261710</t>
  </si>
  <si>
    <t>000261711</t>
  </si>
  <si>
    <t>Decmber</t>
  </si>
  <si>
    <t>Mountain-400-W Silver, 38</t>
  </si>
  <si>
    <t>000261712</t>
  </si>
  <si>
    <t>000261713</t>
  </si>
  <si>
    <t>Mountain-500 Silver, 42</t>
  </si>
  <si>
    <t>000261714</t>
  </si>
  <si>
    <t>000261715</t>
  </si>
  <si>
    <t>Oregon</t>
  </si>
  <si>
    <t>000261716</t>
  </si>
  <si>
    <t>Mountain-500 Black, 42</t>
  </si>
  <si>
    <t>000261717</t>
  </si>
  <si>
    <t>Victoria</t>
  </si>
  <si>
    <t>Mountain-100 Black, 38</t>
  </si>
  <si>
    <t>000261718</t>
  </si>
  <si>
    <t>Hamburg</t>
  </si>
  <si>
    <t>000261719</t>
  </si>
  <si>
    <t>000261720</t>
  </si>
  <si>
    <t>000261721</t>
  </si>
  <si>
    <t>000261722</t>
  </si>
  <si>
    <t>Mountain-500 Black, 40</t>
  </si>
  <si>
    <t>000261723</t>
  </si>
  <si>
    <t>Mountain-100 Silver, 44</t>
  </si>
  <si>
    <t>000261724</t>
  </si>
  <si>
    <t>000261725</t>
  </si>
  <si>
    <t>France</t>
  </si>
  <si>
    <t>Seine (Paris)</t>
  </si>
  <si>
    <t>000261726</t>
  </si>
  <si>
    <t>000261727</t>
  </si>
  <si>
    <t>000261728</t>
  </si>
  <si>
    <t>000261729</t>
  </si>
  <si>
    <t>000261730</t>
  </si>
  <si>
    <t>000261731</t>
  </si>
  <si>
    <t>000261732</t>
  </si>
  <si>
    <t>000261733</t>
  </si>
  <si>
    <t>000261734</t>
  </si>
  <si>
    <t>000261735</t>
  </si>
  <si>
    <t>000261736</t>
  </si>
  <si>
    <t>Mountain-500 Silver, 40</t>
  </si>
  <si>
    <t>000261737</t>
  </si>
  <si>
    <t>000261738</t>
  </si>
  <si>
    <t>000261739</t>
  </si>
  <si>
    <t>000261740</t>
  </si>
  <si>
    <t>000261741</t>
  </si>
  <si>
    <t>000261742</t>
  </si>
  <si>
    <t>000261743</t>
  </si>
  <si>
    <t>000261744</t>
  </si>
  <si>
    <t>000261745</t>
  </si>
  <si>
    <t>Seine et Marne</t>
  </si>
  <si>
    <t>Mountain-200 Silver, 46</t>
  </si>
  <si>
    <t>000261746</t>
  </si>
  <si>
    <t>000261747</t>
  </si>
  <si>
    <t>000261748</t>
  </si>
  <si>
    <t>000261749</t>
  </si>
  <si>
    <t>000261750</t>
  </si>
  <si>
    <t>000261751</t>
  </si>
  <si>
    <t>Seine Saint Denis</t>
  </si>
  <si>
    <t>000261752</t>
  </si>
  <si>
    <t>000261753</t>
  </si>
  <si>
    <t>000261754</t>
  </si>
  <si>
    <t>000261755</t>
  </si>
  <si>
    <t>000261756</t>
  </si>
  <si>
    <t>Nord</t>
  </si>
  <si>
    <t>000261757</t>
  </si>
  <si>
    <t>Mountain-500 Black, 44</t>
  </si>
  <si>
    <t>000261758</t>
  </si>
  <si>
    <t>000261759</t>
  </si>
  <si>
    <t>Mountain-100 Black, 48</t>
  </si>
  <si>
    <t>000261760</t>
  </si>
  <si>
    <t>000261761</t>
  </si>
  <si>
    <t>000261762</t>
  </si>
  <si>
    <t>000261763</t>
  </si>
  <si>
    <t>South Australia</t>
  </si>
  <si>
    <t>000261764</t>
  </si>
  <si>
    <t>Hessen</t>
  </si>
  <si>
    <t>000261765</t>
  </si>
  <si>
    <t>000261766</t>
  </si>
  <si>
    <t>000261767</t>
  </si>
  <si>
    <t>000261768</t>
  </si>
  <si>
    <t>Mountain-500 Black, 52</t>
  </si>
  <si>
    <t>000261769</t>
  </si>
  <si>
    <t>000261770</t>
  </si>
  <si>
    <t>000261771</t>
  </si>
  <si>
    <t>Somme</t>
  </si>
  <si>
    <t>000261772</t>
  </si>
  <si>
    <t>000261773</t>
  </si>
  <si>
    <t>000261774</t>
  </si>
  <si>
    <t>000261775</t>
  </si>
  <si>
    <t>000261776</t>
  </si>
  <si>
    <t>000261777</t>
  </si>
  <si>
    <t>000261778</t>
  </si>
  <si>
    <t>000261779</t>
  </si>
  <si>
    <t>000261780</t>
  </si>
  <si>
    <t>000261781</t>
  </si>
  <si>
    <t>000261782</t>
  </si>
  <si>
    <t>Female</t>
  </si>
  <si>
    <t>Male</t>
  </si>
  <si>
    <t>Unit_Cost</t>
  </si>
  <si>
    <t>Unit_Price</t>
  </si>
  <si>
    <t>Profit</t>
  </si>
  <si>
    <t>Cost</t>
  </si>
  <si>
    <t>Unknown (source missing)</t>
  </si>
  <si>
    <t>Grand Total</t>
  </si>
  <si>
    <t>Units Sold</t>
  </si>
  <si>
    <t>BIKE SALES PIVOT SUMMARIES</t>
  </si>
  <si>
    <t>Three simple views of the cleaned sales data</t>
  </si>
  <si>
    <t>SALES BY COUNTRY</t>
  </si>
  <si>
    <t>SALES BY AGE GROUP</t>
  </si>
  <si>
    <t>SALES BY GENDER</t>
  </si>
  <si>
    <t>Charts</t>
  </si>
  <si>
    <t>Order KPIs</t>
  </si>
  <si>
    <t>Total Unit Price KPIs</t>
  </si>
  <si>
    <t>Total Profit KPIs</t>
  </si>
  <si>
    <t>Total Revenue KPIs</t>
  </si>
  <si>
    <t>Male Customer KPIs</t>
  </si>
  <si>
    <t>Female Customer 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</si>
</sst>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_);[Red]\(&quot;$&quot;#,##0.00\)"/>
    <numFmt numFmtId="165" formatCode="[$$-409]#,##0.00"/>
  </numFmts>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color rgb="FF000000"/>
      <name val="Calibri"/>
      <family val="2"/>
    </font>
    <font>
      <b/>
      <sz val="11"/>
      <color rgb="FF000000"/>
      <name val="Calibri"/>
      <family val="2"/>
    </font>
    <font>
      <sz val="11"/>
      <name val="Calibri"/>
      <family val="2"/>
      <scheme val="minor"/>
    </font>
    <font>
      <sz val="11"/>
      <name val="Calibri"/>
      <family val="2"/>
    </font>
    <font>
      <b/>
      <sz val="18"/>
      <color rgb="FFFFFFFF"/>
      <name val="Calibri"/>
      <family val="2"/>
      <scheme val="minor"/>
    </font>
    <font>
      <sz val="11"/>
      <color rgb="FF44546A"/>
      <name val="Calibri"/>
      <family val="2"/>
      <scheme val="minor"/>
    </font>
    <font>
      <b/>
      <sz val="11"/>
      <color rgb="FF17365D"/>
      <name val="Calibri"/>
      <family val="2"/>
      <scheme val="minor"/>
    </font>
    <font>
      <sz val="22"/>
      <color theme="1"/>
      <name val="Algerian"/>
      <family val="5"/>
    </font>
    <font>
      <b/>
      <i/>
      <sz val="16"/>
      <color theme="1"/>
      <name val="Agency FB"/>
      <family val="2"/>
    </font>
    <font>
      <sz val="11"/>
      <color theme="1" tint="4.9989318521683403E-2"/>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7365D"/>
        <bgColor indexed="64"/>
      </patternFill>
    </fill>
    <fill>
      <patternFill patternType="solid">
        <fgColor rgb="FFD9EAF7"/>
        <bgColor indexed="64"/>
      </patternFill>
    </fill>
    <fill>
      <patternFill patternType="solid">
        <fgColor theme="5" tint="0.7999816888943144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14" fontId="0" fillId="0" borderId="0" xfId="0" applyNumberFormat="1"/>
    <xf numFmtId="164" fontId="0" fillId="0" borderId="0" xfId="0" applyNumberFormat="1"/>
    <xf numFmtId="49" fontId="0" fillId="0" borderId="0" xfId="0" applyNumberFormat="1" applyAlignment="1">
      <alignment horizontal="right"/>
    </xf>
    <xf numFmtId="0" fontId="16" fillId="0" borderId="0" xfId="0" applyFont="1"/>
    <xf numFmtId="0" fontId="19" fillId="0" borderId="0" xfId="0" applyFont="1"/>
    <xf numFmtId="0" fontId="20" fillId="0" borderId="0" xfId="0" applyFont="1"/>
    <xf numFmtId="0" fontId="16" fillId="0" borderId="0" xfId="0" applyFont="1" applyAlignment="1">
      <alignment horizontal="center"/>
    </xf>
    <xf numFmtId="0" fontId="0" fillId="0" borderId="0" xfId="0" applyAlignment="1">
      <alignment horizontal="center"/>
    </xf>
    <xf numFmtId="0" fontId="21" fillId="0" borderId="0" xfId="0" applyFont="1"/>
    <xf numFmtId="0" fontId="22" fillId="0" borderId="0" xfId="0" applyFont="1"/>
    <xf numFmtId="164" fontId="21" fillId="0" borderId="0" xfId="0" applyNumberFormat="1" applyFont="1"/>
    <xf numFmtId="49" fontId="21" fillId="0" borderId="0" xfId="0" applyNumberFormat="1" applyFont="1" applyAlignment="1">
      <alignment horizontal="right"/>
    </xf>
    <xf numFmtId="14" fontId="21" fillId="0" borderId="0" xfId="0" applyNumberFormat="1" applyFont="1"/>
    <xf numFmtId="0" fontId="21" fillId="0" borderId="0" xfId="0" applyFont="1" applyAlignment="1">
      <alignment horizontal="center"/>
    </xf>
    <xf numFmtId="165" fontId="0" fillId="0" borderId="0" xfId="0" applyNumberFormat="1"/>
    <xf numFmtId="49" fontId="0" fillId="0" borderId="0" xfId="0" applyNumberFormat="1"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0" fontId="0" fillId="0" borderId="0" xfId="0" pivotButton="1"/>
    <xf numFmtId="3" fontId="0" fillId="0" borderId="0" xfId="0" applyNumberFormat="1"/>
    <xf numFmtId="0" fontId="0" fillId="36" borderId="0" xfId="0" applyFill="1"/>
    <xf numFmtId="0" fontId="26" fillId="0" borderId="0" xfId="0" applyFont="1" applyAlignment="1">
      <alignment horizontal="center"/>
    </xf>
    <xf numFmtId="0" fontId="0" fillId="0" borderId="0" xfId="0" applyAlignment="1">
      <alignment horizontal="center"/>
    </xf>
    <xf numFmtId="1" fontId="27" fillId="35" borderId="0" xfId="0" applyNumberFormat="1" applyFont="1" applyFill="1" applyAlignment="1">
      <alignment horizontal="center"/>
    </xf>
    <xf numFmtId="0" fontId="27" fillId="35" borderId="0" xfId="0" applyFont="1" applyFill="1" applyAlignment="1">
      <alignment horizontal="center"/>
    </xf>
    <xf numFmtId="0" fontId="26" fillId="35" borderId="0" xfId="0" applyFont="1" applyFill="1" applyAlignment="1">
      <alignment horizontal="center"/>
    </xf>
    <xf numFmtId="0" fontId="23" fillId="33" borderId="0" xfId="0" applyFont="1" applyFill="1"/>
    <xf numFmtId="0" fontId="24" fillId="0" borderId="0" xfId="0" applyFont="1"/>
    <xf numFmtId="0" fontId="25" fillId="34" borderId="0" xfId="0" applyFont="1" applyFill="1"/>
    <xf numFmtId="0" fontId="28"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6">
    <dxf>
      <numFmt numFmtId="3" formatCode="#,##0"/>
    </dxf>
    <dxf>
      <numFmt numFmtId="165" formatCode="[$$-409]#,##0.00"/>
    </dxf>
    <dxf>
      <numFmt numFmtId="3" formatCode="#,##0"/>
    </dxf>
    <dxf>
      <numFmt numFmtId="165" formatCode="[$$-409]#,##0.00"/>
    </dxf>
    <dxf>
      <numFmt numFmtId="3" formatCode="#,##0"/>
    </dxf>
    <dxf>
      <numFmt numFmtId="165" formatCode="[$$-409]#,##0.00"/>
    </dxf>
    <dxf>
      <numFmt numFmtId="165" formatCode="[$$-409]#,##0.00"/>
      <alignment horizontal="center" vertical="bottom" textRotation="0" wrapText="0" indent="0" justifyLastLine="0" shrinkToFit="0" readingOrder="0"/>
    </dxf>
    <dxf>
      <numFmt numFmtId="165" formatCode="[$$-409]#,##0.00"/>
      <alignment horizontal="center" vertical="bottom" textRotation="0" wrapText="0" indent="0" justifyLastLine="0" shrinkToFit="0" readingOrder="0"/>
    </dxf>
    <dxf>
      <numFmt numFmtId="165" formatCode="[$$-409]#,##0.00"/>
      <alignment horizontal="center" vertical="bottom" textRotation="0" wrapText="0" indent="0" justifyLastLine="0" shrinkToFit="0" readingOrder="0"/>
    </dxf>
    <dxf>
      <numFmt numFmtId="165" formatCode="[$$-409]#,##0.00"/>
      <alignment horizontal="center" vertical="bottom" textRotation="0" wrapText="0" indent="0" justifyLastLine="0" shrinkToFit="0" readingOrder="0"/>
    </dxf>
    <dxf>
      <numFmt numFmtId="165" formatCode="[$$-409]#,##0.00"/>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quot;$&quot;#,##0.00_);[Red]\(&quot;$&quot;#,##0.00\)"/>
    </dxf>
    <dxf>
      <numFmt numFmtId="164" formatCode="&quot;$&quot;#,##0.00_);[Red]\(&quot;$&quot;#,##0.00\)"/>
    </dxf>
    <dxf>
      <numFmt numFmtId="164" formatCode="&quot;$&quot;#,##0.00_);[Red]\(&quot;$&quot;#,##0.00\)"/>
    </dxf>
    <dxf>
      <numFmt numFmtId="164" formatCode="&quot;$&quot;#,##0.00_);[Red]\(&quot;$&quot;#,##0.00\)"/>
    </dxf>
    <dxf>
      <numFmt numFmtId="164" formatCode="&quot;$&quot;#,##0.00_);[Red]\(&quot;$&quot;#,##0.00\)"/>
    </dxf>
    <dxf>
      <font>
        <b val="0"/>
        <i val="0"/>
        <strike val="0"/>
        <condense val="0"/>
        <extend val="0"/>
        <outline val="0"/>
        <shadow val="0"/>
        <u val="none"/>
        <vertAlign val="baseline"/>
        <sz val="11"/>
        <color rgb="FF000000"/>
        <name val="Calibri"/>
        <family val="2"/>
        <scheme val="none"/>
      </font>
    </dxf>
    <dxf>
      <alignment horizontal="center" vertical="bottom" textRotation="0" wrapText="0" indent="0" justifyLastLine="0" shrinkToFit="0" readingOrder="0"/>
    </dxf>
    <dxf>
      <numFmt numFmtId="19" formatCode="dd/mm/yyyy"/>
    </dxf>
    <dxf>
      <numFmt numFmtId="30" formatCode="@"/>
      <alignment horizontal="righ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[uncleaned bike sales data.xlsx]Sales Pivot!Country_Summary</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Pivot'!$B$7</c:f>
              <c:strCache>
                <c:ptCount val="1"/>
                <c:pt idx="0">
                  <c:v>Revenue</c:v>
                </c:pt>
              </c:strCache>
            </c:strRef>
          </c:tx>
          <c:spPr>
            <a:solidFill>
              <a:schemeClr val="accent1"/>
            </a:solidFill>
            <a:ln>
              <a:noFill/>
            </a:ln>
            <a:effectLst/>
          </c:spPr>
          <c:invertIfNegative val="0"/>
          <c:cat>
            <c:strRef>
              <c:f>'Sales Pivot'!$A$8:$A$14</c:f>
              <c:strCache>
                <c:ptCount val="6"/>
                <c:pt idx="0">
                  <c:v>Australia</c:v>
                </c:pt>
                <c:pt idx="1">
                  <c:v>Canada</c:v>
                </c:pt>
                <c:pt idx="2">
                  <c:v>France</c:v>
                </c:pt>
                <c:pt idx="3">
                  <c:v>Germany</c:v>
                </c:pt>
                <c:pt idx="4">
                  <c:v>United Kingdom</c:v>
                </c:pt>
                <c:pt idx="5">
                  <c:v>United States</c:v>
                </c:pt>
              </c:strCache>
            </c:strRef>
          </c:cat>
          <c:val>
            <c:numRef>
              <c:f>'Sales Pivot'!$B$8:$B$14</c:f>
              <c:numCache>
                <c:formatCode>[$$-409]#,##0.00</c:formatCode>
                <c:ptCount val="6"/>
                <c:pt idx="0">
                  <c:v>111506</c:v>
                </c:pt>
                <c:pt idx="1">
                  <c:v>20080</c:v>
                </c:pt>
                <c:pt idx="2">
                  <c:v>46175</c:v>
                </c:pt>
                <c:pt idx="3">
                  <c:v>30010</c:v>
                </c:pt>
                <c:pt idx="4">
                  <c:v>19972</c:v>
                </c:pt>
                <c:pt idx="5">
                  <c:v>135784</c:v>
                </c:pt>
              </c:numCache>
            </c:numRef>
          </c:val>
          <c:extLst>
            <c:ext xmlns:c16="http://schemas.microsoft.com/office/drawing/2014/chart" uri="{C3380CC4-5D6E-409C-BE32-E72D297353CC}">
              <c16:uniqueId val="{00000000-4824-4A7D-B6C3-22317A6CDA43}"/>
            </c:ext>
          </c:extLst>
        </c:ser>
        <c:ser>
          <c:idx val="1"/>
          <c:order val="1"/>
          <c:tx>
            <c:strRef>
              <c:f>'Sales Pivot'!$C$7</c:f>
              <c:strCache>
                <c:ptCount val="1"/>
                <c:pt idx="0">
                  <c:v>Profit</c:v>
                </c:pt>
              </c:strCache>
            </c:strRef>
          </c:tx>
          <c:spPr>
            <a:solidFill>
              <a:schemeClr val="accent2"/>
            </a:solidFill>
            <a:ln>
              <a:noFill/>
            </a:ln>
            <a:effectLst/>
          </c:spPr>
          <c:invertIfNegative val="0"/>
          <c:cat>
            <c:strRef>
              <c:f>'Sales Pivot'!$A$8:$A$14</c:f>
              <c:strCache>
                <c:ptCount val="6"/>
                <c:pt idx="0">
                  <c:v>Australia</c:v>
                </c:pt>
                <c:pt idx="1">
                  <c:v>Canada</c:v>
                </c:pt>
                <c:pt idx="2">
                  <c:v>France</c:v>
                </c:pt>
                <c:pt idx="3">
                  <c:v>Germany</c:v>
                </c:pt>
                <c:pt idx="4">
                  <c:v>United Kingdom</c:v>
                </c:pt>
                <c:pt idx="5">
                  <c:v>United States</c:v>
                </c:pt>
              </c:strCache>
            </c:strRef>
          </c:cat>
          <c:val>
            <c:numRef>
              <c:f>'Sales Pivot'!$C$8:$C$14</c:f>
              <c:numCache>
                <c:formatCode>[$$-409]#,##0.00</c:formatCode>
                <c:ptCount val="6"/>
                <c:pt idx="0">
                  <c:v>50326</c:v>
                </c:pt>
                <c:pt idx="1">
                  <c:v>9123</c:v>
                </c:pt>
                <c:pt idx="2">
                  <c:v>20981</c:v>
                </c:pt>
                <c:pt idx="3">
                  <c:v>13636</c:v>
                </c:pt>
                <c:pt idx="4">
                  <c:v>9072</c:v>
                </c:pt>
                <c:pt idx="5">
                  <c:v>61413</c:v>
                </c:pt>
              </c:numCache>
            </c:numRef>
          </c:val>
          <c:extLst>
            <c:ext xmlns:c16="http://schemas.microsoft.com/office/drawing/2014/chart" uri="{C3380CC4-5D6E-409C-BE32-E72D297353CC}">
              <c16:uniqueId val="{00000001-4824-4A7D-B6C3-22317A6CDA43}"/>
            </c:ext>
          </c:extLst>
        </c:ser>
        <c:ser>
          <c:idx val="2"/>
          <c:order val="2"/>
          <c:tx>
            <c:strRef>
              <c:f>'Sales Pivot'!$D$7</c:f>
              <c:strCache>
                <c:ptCount val="1"/>
                <c:pt idx="0">
                  <c:v>Units Sold</c:v>
                </c:pt>
              </c:strCache>
            </c:strRef>
          </c:tx>
          <c:spPr>
            <a:solidFill>
              <a:schemeClr val="accent3"/>
            </a:solidFill>
            <a:ln>
              <a:noFill/>
            </a:ln>
            <a:effectLst/>
          </c:spPr>
          <c:invertIfNegative val="0"/>
          <c:cat>
            <c:strRef>
              <c:f>'Sales Pivot'!$A$8:$A$14</c:f>
              <c:strCache>
                <c:ptCount val="6"/>
                <c:pt idx="0">
                  <c:v>Australia</c:v>
                </c:pt>
                <c:pt idx="1">
                  <c:v>Canada</c:v>
                </c:pt>
                <c:pt idx="2">
                  <c:v>France</c:v>
                </c:pt>
                <c:pt idx="3">
                  <c:v>Germany</c:v>
                </c:pt>
                <c:pt idx="4">
                  <c:v>United Kingdom</c:v>
                </c:pt>
                <c:pt idx="5">
                  <c:v>United States</c:v>
                </c:pt>
              </c:strCache>
            </c:strRef>
          </c:cat>
          <c:val>
            <c:numRef>
              <c:f>'Sales Pivot'!$D$8:$D$14</c:f>
              <c:numCache>
                <c:formatCode>#,##0</c:formatCode>
                <c:ptCount val="6"/>
                <c:pt idx="0">
                  <c:v>63</c:v>
                </c:pt>
                <c:pt idx="1">
                  <c:v>11</c:v>
                </c:pt>
                <c:pt idx="2">
                  <c:v>20</c:v>
                </c:pt>
                <c:pt idx="3">
                  <c:v>13</c:v>
                </c:pt>
                <c:pt idx="4">
                  <c:v>14</c:v>
                </c:pt>
                <c:pt idx="5">
                  <c:v>67</c:v>
                </c:pt>
              </c:numCache>
            </c:numRef>
          </c:val>
          <c:extLst>
            <c:ext xmlns:c16="http://schemas.microsoft.com/office/drawing/2014/chart" uri="{C3380CC4-5D6E-409C-BE32-E72D297353CC}">
              <c16:uniqueId val="{00000002-4824-4A7D-B6C3-22317A6CDA43}"/>
            </c:ext>
          </c:extLst>
        </c:ser>
        <c:dLbls>
          <c:showLegendKey val="0"/>
          <c:showVal val="0"/>
          <c:showCatName val="0"/>
          <c:showSerName val="0"/>
          <c:showPercent val="0"/>
          <c:showBubbleSize val="0"/>
        </c:dLbls>
        <c:gapWidth val="219"/>
        <c:overlap val="-27"/>
        <c:axId val="1674152752"/>
        <c:axId val="1293051696"/>
      </c:barChart>
      <c:catAx>
        <c:axId val="167415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051696"/>
        <c:crosses val="autoZero"/>
        <c:auto val="1"/>
        <c:lblAlgn val="ctr"/>
        <c:lblOffset val="100"/>
        <c:noMultiLvlLbl val="0"/>
      </c:catAx>
      <c:valAx>
        <c:axId val="1293051696"/>
        <c:scaling>
          <c:orientation val="minMax"/>
        </c:scaling>
        <c:delete val="0"/>
        <c:axPos val="l"/>
        <c:majorGridlines>
          <c:spPr>
            <a:ln w="9525" cap="flat" cmpd="sng" algn="ctr">
              <a:no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152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66000">
          <a:schemeClr val="accent2">
            <a:lumMod val="60000"/>
            <a:lumOff val="40000"/>
          </a:schemeClr>
        </a:gs>
        <a:gs pos="20000">
          <a:srgbClr val="F3C3EA"/>
        </a:gs>
        <a:gs pos="91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[uncleaned bike sales data.xlsx]Sales Pivot!Age_Group_Summary</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'Sales Pivot'!$G$7</c:f>
              <c:strCache>
                <c:ptCount val="1"/>
                <c:pt idx="0">
                  <c:v>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BA-4175-BE2D-A9FD24EE4F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BA-4175-BE2D-A9FD24EE4F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BA-4175-BE2D-A9FD24EE4FC0}"/>
              </c:ext>
            </c:extLst>
          </c:dPt>
          <c:cat>
            <c:strRef>
              <c:f>'Sales Pivot'!$F$8:$F$11</c:f>
              <c:strCache>
                <c:ptCount val="3"/>
                <c:pt idx="0">
                  <c:v>Adults (35-64)</c:v>
                </c:pt>
                <c:pt idx="1">
                  <c:v>Young Adults (25-34)</c:v>
                </c:pt>
                <c:pt idx="2">
                  <c:v>Youth (&lt;25)</c:v>
                </c:pt>
              </c:strCache>
            </c:strRef>
          </c:cat>
          <c:val>
            <c:numRef>
              <c:f>'Sales Pivot'!$G$8:$G$11</c:f>
              <c:numCache>
                <c:formatCode>[$$-409]#,##0.00</c:formatCode>
                <c:ptCount val="3"/>
                <c:pt idx="0">
                  <c:v>208551</c:v>
                </c:pt>
                <c:pt idx="1">
                  <c:v>119646</c:v>
                </c:pt>
                <c:pt idx="2">
                  <c:v>35330</c:v>
                </c:pt>
              </c:numCache>
            </c:numRef>
          </c:val>
          <c:extLst>
            <c:ext xmlns:c16="http://schemas.microsoft.com/office/drawing/2014/chart" uri="{C3380CC4-5D6E-409C-BE32-E72D297353CC}">
              <c16:uniqueId val="{00000006-0CBA-4175-BE2D-A9FD24EE4FC0}"/>
            </c:ext>
          </c:extLst>
        </c:ser>
        <c:ser>
          <c:idx val="1"/>
          <c:order val="1"/>
          <c:tx>
            <c:strRef>
              <c:f>'Sales Pivot'!$H$7</c:f>
              <c:strCache>
                <c:ptCount val="1"/>
                <c:pt idx="0">
                  <c:v>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0CBA-4175-BE2D-A9FD24EE4F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0CBA-4175-BE2D-A9FD24EE4F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0CBA-4175-BE2D-A9FD24EE4FC0}"/>
              </c:ext>
            </c:extLst>
          </c:dPt>
          <c:cat>
            <c:strRef>
              <c:f>'Sales Pivot'!$F$8:$F$11</c:f>
              <c:strCache>
                <c:ptCount val="3"/>
                <c:pt idx="0">
                  <c:v>Adults (35-64)</c:v>
                </c:pt>
                <c:pt idx="1">
                  <c:v>Young Adults (25-34)</c:v>
                </c:pt>
                <c:pt idx="2">
                  <c:v>Youth (&lt;25)</c:v>
                </c:pt>
              </c:strCache>
            </c:strRef>
          </c:cat>
          <c:val>
            <c:numRef>
              <c:f>'Sales Pivot'!$H$8:$H$11</c:f>
              <c:numCache>
                <c:formatCode>[$$-409]#,##0.00</c:formatCode>
                <c:ptCount val="3"/>
                <c:pt idx="0">
                  <c:v>94539</c:v>
                </c:pt>
                <c:pt idx="1">
                  <c:v>53962</c:v>
                </c:pt>
                <c:pt idx="2">
                  <c:v>16050</c:v>
                </c:pt>
              </c:numCache>
            </c:numRef>
          </c:val>
          <c:extLst>
            <c:ext xmlns:c16="http://schemas.microsoft.com/office/drawing/2014/chart" uri="{C3380CC4-5D6E-409C-BE32-E72D297353CC}">
              <c16:uniqueId val="{0000000D-0CBA-4175-BE2D-A9FD24EE4FC0}"/>
            </c:ext>
          </c:extLst>
        </c:ser>
        <c:ser>
          <c:idx val="2"/>
          <c:order val="2"/>
          <c:tx>
            <c:strRef>
              <c:f>'Sales Pivot'!$I$7</c:f>
              <c:strCache>
                <c:ptCount val="1"/>
                <c:pt idx="0">
                  <c:v>Units Sold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0CBA-4175-BE2D-A9FD24EE4F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0CBA-4175-BE2D-A9FD24EE4F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0CBA-4175-BE2D-A9FD24EE4FC0}"/>
              </c:ext>
            </c:extLst>
          </c:dPt>
          <c:cat>
            <c:strRef>
              <c:f>'Sales Pivot'!$F$8:$F$11</c:f>
              <c:strCache>
                <c:ptCount val="3"/>
                <c:pt idx="0">
                  <c:v>Adults (35-64)</c:v>
                </c:pt>
                <c:pt idx="1">
                  <c:v>Young Adults (25-34)</c:v>
                </c:pt>
                <c:pt idx="2">
                  <c:v>Youth (&lt;25)</c:v>
                </c:pt>
              </c:strCache>
            </c:strRef>
          </c:cat>
          <c:val>
            <c:numRef>
              <c:f>'Sales Pivot'!$I$8:$I$11</c:f>
              <c:numCache>
                <c:formatCode>#,##0</c:formatCode>
                <c:ptCount val="3"/>
                <c:pt idx="0">
                  <c:v>100</c:v>
                </c:pt>
                <c:pt idx="1">
                  <c:v>61</c:v>
                </c:pt>
                <c:pt idx="2">
                  <c:v>27</c:v>
                </c:pt>
              </c:numCache>
            </c:numRef>
          </c:val>
          <c:extLst>
            <c:ext xmlns:c16="http://schemas.microsoft.com/office/drawing/2014/chart" uri="{C3380CC4-5D6E-409C-BE32-E72D297353CC}">
              <c16:uniqueId val="{00000014-0CBA-4175-BE2D-A9FD24EE4FC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21000">
          <a:schemeClr val="accent1">
            <a:lumMod val="45000"/>
            <a:lumOff val="55000"/>
          </a:schemeClr>
        </a:gs>
        <a:gs pos="58000">
          <a:schemeClr val="accent2">
            <a:lumMod val="60000"/>
            <a:lumOff val="40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[uncleaned bike sales data.xlsx]Sales Pivot!Gender_Summary</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Pivot'!$L$7</c:f>
              <c:strCache>
                <c:ptCount val="1"/>
                <c:pt idx="0">
                  <c:v>Revenue</c:v>
                </c:pt>
              </c:strCache>
            </c:strRef>
          </c:tx>
          <c:spPr>
            <a:solidFill>
              <a:schemeClr val="accent1"/>
            </a:solidFill>
            <a:ln>
              <a:noFill/>
            </a:ln>
            <a:effectLst/>
          </c:spPr>
          <c:invertIfNegative val="0"/>
          <c:cat>
            <c:strRef>
              <c:f>'Sales Pivot'!$K$8:$K$10</c:f>
              <c:strCache>
                <c:ptCount val="2"/>
                <c:pt idx="0">
                  <c:v>Female</c:v>
                </c:pt>
                <c:pt idx="1">
                  <c:v>Male</c:v>
                </c:pt>
              </c:strCache>
            </c:strRef>
          </c:cat>
          <c:val>
            <c:numRef>
              <c:f>'Sales Pivot'!$L$8:$L$10</c:f>
              <c:numCache>
                <c:formatCode>[$$-409]#,##0.00</c:formatCode>
                <c:ptCount val="2"/>
                <c:pt idx="0">
                  <c:v>216049</c:v>
                </c:pt>
                <c:pt idx="1">
                  <c:v>147478</c:v>
                </c:pt>
              </c:numCache>
            </c:numRef>
          </c:val>
          <c:extLst>
            <c:ext xmlns:c16="http://schemas.microsoft.com/office/drawing/2014/chart" uri="{C3380CC4-5D6E-409C-BE32-E72D297353CC}">
              <c16:uniqueId val="{00000000-A825-4C03-936C-E32B15BEA3EA}"/>
            </c:ext>
          </c:extLst>
        </c:ser>
        <c:ser>
          <c:idx val="1"/>
          <c:order val="1"/>
          <c:tx>
            <c:strRef>
              <c:f>'Sales Pivot'!$M$7</c:f>
              <c:strCache>
                <c:ptCount val="1"/>
                <c:pt idx="0">
                  <c:v>Profit</c:v>
                </c:pt>
              </c:strCache>
            </c:strRef>
          </c:tx>
          <c:spPr>
            <a:solidFill>
              <a:schemeClr val="accent2"/>
            </a:solidFill>
            <a:ln>
              <a:noFill/>
            </a:ln>
            <a:effectLst/>
          </c:spPr>
          <c:invertIfNegative val="0"/>
          <c:cat>
            <c:strRef>
              <c:f>'Sales Pivot'!$K$8:$K$10</c:f>
              <c:strCache>
                <c:ptCount val="2"/>
                <c:pt idx="0">
                  <c:v>Female</c:v>
                </c:pt>
                <c:pt idx="1">
                  <c:v>Male</c:v>
                </c:pt>
              </c:strCache>
            </c:strRef>
          </c:cat>
          <c:val>
            <c:numRef>
              <c:f>'Sales Pivot'!$M$8:$M$10</c:f>
              <c:numCache>
                <c:formatCode>[$$-409]#,##0.00</c:formatCode>
                <c:ptCount val="2"/>
                <c:pt idx="0">
                  <c:v>97543</c:v>
                </c:pt>
                <c:pt idx="1">
                  <c:v>67008</c:v>
                </c:pt>
              </c:numCache>
            </c:numRef>
          </c:val>
          <c:extLst>
            <c:ext xmlns:c16="http://schemas.microsoft.com/office/drawing/2014/chart" uri="{C3380CC4-5D6E-409C-BE32-E72D297353CC}">
              <c16:uniqueId val="{00000001-A825-4C03-936C-E32B15BEA3EA}"/>
            </c:ext>
          </c:extLst>
        </c:ser>
        <c:ser>
          <c:idx val="2"/>
          <c:order val="2"/>
          <c:tx>
            <c:strRef>
              <c:f>'Sales Pivot'!$N$7</c:f>
              <c:strCache>
                <c:ptCount val="1"/>
                <c:pt idx="0">
                  <c:v>Units Sold</c:v>
                </c:pt>
              </c:strCache>
            </c:strRef>
          </c:tx>
          <c:spPr>
            <a:solidFill>
              <a:schemeClr val="accent3"/>
            </a:solidFill>
            <a:ln>
              <a:noFill/>
            </a:ln>
            <a:effectLst/>
          </c:spPr>
          <c:invertIfNegative val="0"/>
          <c:cat>
            <c:strRef>
              <c:f>'Sales Pivot'!$K$8:$K$10</c:f>
              <c:strCache>
                <c:ptCount val="2"/>
                <c:pt idx="0">
                  <c:v>Female</c:v>
                </c:pt>
                <c:pt idx="1">
                  <c:v>Male</c:v>
                </c:pt>
              </c:strCache>
            </c:strRef>
          </c:cat>
          <c:val>
            <c:numRef>
              <c:f>'Sales Pivot'!$N$8:$N$10</c:f>
              <c:numCache>
                <c:formatCode>#,##0</c:formatCode>
                <c:ptCount val="2"/>
                <c:pt idx="0">
                  <c:v>108</c:v>
                </c:pt>
                <c:pt idx="1">
                  <c:v>80</c:v>
                </c:pt>
              </c:numCache>
            </c:numRef>
          </c:val>
          <c:extLst>
            <c:ext xmlns:c16="http://schemas.microsoft.com/office/drawing/2014/chart" uri="{C3380CC4-5D6E-409C-BE32-E72D297353CC}">
              <c16:uniqueId val="{00000002-A825-4C03-936C-E32B15BEA3EA}"/>
            </c:ext>
          </c:extLst>
        </c:ser>
        <c:dLbls>
          <c:showLegendKey val="0"/>
          <c:showVal val="0"/>
          <c:showCatName val="0"/>
          <c:showSerName val="0"/>
          <c:showPercent val="0"/>
          <c:showBubbleSize val="0"/>
        </c:dLbls>
        <c:gapWidth val="182"/>
        <c:axId val="1436259504"/>
        <c:axId val="1293108816"/>
      </c:barChart>
      <c:catAx>
        <c:axId val="1436259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108816"/>
        <c:crosses val="autoZero"/>
        <c:auto val="1"/>
        <c:lblAlgn val="ctr"/>
        <c:lblOffset val="100"/>
        <c:noMultiLvlLbl val="0"/>
      </c:catAx>
      <c:valAx>
        <c:axId val="1293108816"/>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25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21000">
          <a:schemeClr val="accent1">
            <a:lumMod val="45000"/>
            <a:lumOff val="55000"/>
          </a:schemeClr>
        </a:gs>
        <a:gs pos="56000">
          <a:schemeClr val="accent2">
            <a:lumMod val="60000"/>
            <a:lumOff val="40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21256</xdr:colOff>
      <xdr:row>6</xdr:row>
      <xdr:rowOff>174057</xdr:rowOff>
    </xdr:from>
    <xdr:to>
      <xdr:col>8</xdr:col>
      <xdr:colOff>0</xdr:colOff>
      <xdr:row>21</xdr:row>
      <xdr:rowOff>174057</xdr:rowOff>
    </xdr:to>
    <xdr:graphicFrame macro="">
      <xdr:nvGraphicFramePr>
        <xdr:cNvPr id="5" name="Chart 2">
          <a:extLst>
            <a:ext uri="{FF2B5EF4-FFF2-40B4-BE49-F238E27FC236}">
              <a16:creationId xmlns:a16="http://schemas.microsoft.com/office/drawing/2014/main" id="{09CD20E2-A155-483E-8A47-D36E86814C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205782</xdr:colOff>
      <xdr:row>22</xdr:row>
      <xdr:rowOff>117072</xdr:rowOff>
    </xdr:from>
    <xdr:to>
      <xdr:col>10</xdr:col>
      <xdr:colOff>399736</xdr:colOff>
      <xdr:row>39</xdr:row>
      <xdr:rowOff>164524</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85E5B986-1AAF-7169-2EB7-DCE4E9CF451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064912" y="4335681"/>
              <a:ext cx="1408737" cy="32390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570836</xdr:colOff>
      <xdr:row>6</xdr:row>
      <xdr:rowOff>157052</xdr:rowOff>
    </xdr:from>
    <xdr:to>
      <xdr:col>16</xdr:col>
      <xdr:colOff>565585</xdr:colOff>
      <xdr:row>21</xdr:row>
      <xdr:rowOff>185134</xdr:rowOff>
    </xdr:to>
    <xdr:graphicFrame macro="">
      <xdr:nvGraphicFramePr>
        <xdr:cNvPr id="7" name="Chart 4">
          <a:extLst>
            <a:ext uri="{FF2B5EF4-FFF2-40B4-BE49-F238E27FC236}">
              <a16:creationId xmlns:a16="http://schemas.microsoft.com/office/drawing/2014/main" id="{FACC718D-F538-8114-A307-B9967B7E5F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480313</xdr:colOff>
      <xdr:row>22</xdr:row>
      <xdr:rowOff>80348</xdr:rowOff>
    </xdr:from>
    <xdr:to>
      <xdr:col>13</xdr:col>
      <xdr:colOff>62350</xdr:colOff>
      <xdr:row>31</xdr:row>
      <xdr:rowOff>77932</xdr:rowOff>
    </xdr:to>
    <mc:AlternateContent xmlns:mc="http://schemas.openxmlformats.org/markup-compatibility/2006" xmlns:a14="http://schemas.microsoft.com/office/drawing/2010/main">
      <mc:Choice Requires="a14">
        <xdr:graphicFrame macro="">
          <xdr:nvGraphicFramePr>
            <xdr:cNvPr id="8" name="Age_Group">
              <a:extLst>
                <a:ext uri="{FF2B5EF4-FFF2-40B4-BE49-F238E27FC236}">
                  <a16:creationId xmlns:a16="http://schemas.microsoft.com/office/drawing/2014/main" id="{7085B66B-82C6-D15E-DBB8-D6CB5067C4E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6554226" y="4298957"/>
              <a:ext cx="1404211" cy="16872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33130</xdr:colOff>
      <xdr:row>22</xdr:row>
      <xdr:rowOff>179138</xdr:rowOff>
    </xdr:from>
    <xdr:to>
      <xdr:col>8</xdr:col>
      <xdr:colOff>6309</xdr:colOff>
      <xdr:row>38</xdr:row>
      <xdr:rowOff>19480</xdr:rowOff>
    </xdr:to>
    <xdr:graphicFrame macro="">
      <xdr:nvGraphicFramePr>
        <xdr:cNvPr id="9" name="Chart 5">
          <a:extLst>
            <a:ext uri="{FF2B5EF4-FFF2-40B4-BE49-F238E27FC236}">
              <a16:creationId xmlns:a16="http://schemas.microsoft.com/office/drawing/2014/main" id="{C3D4EACF-CFDC-38CE-B9B1-45A44E53B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504461</xdr:colOff>
      <xdr:row>31</xdr:row>
      <xdr:rowOff>164994</xdr:rowOff>
    </xdr:from>
    <xdr:to>
      <xdr:col>13</xdr:col>
      <xdr:colOff>102695</xdr:colOff>
      <xdr:row>40</xdr:row>
      <xdr:rowOff>86591</xdr:rowOff>
    </xdr:to>
    <mc:AlternateContent xmlns:mc="http://schemas.openxmlformats.org/markup-compatibility/2006" xmlns:a14="http://schemas.microsoft.com/office/drawing/2010/main">
      <mc:Choice Requires="a14">
        <xdr:graphicFrame macro="">
          <xdr:nvGraphicFramePr>
            <xdr:cNvPr id="10" name="Customer_Gender">
              <a:extLst>
                <a:ext uri="{FF2B5EF4-FFF2-40B4-BE49-F238E27FC236}">
                  <a16:creationId xmlns:a16="http://schemas.microsoft.com/office/drawing/2014/main" id="{61115A69-704B-5EE6-127B-F203A50D20BB}"/>
                </a:ext>
              </a:extLst>
            </xdr:cNvPr>
            <xdr:cNvGraphicFramePr/>
          </xdr:nvGraphicFramePr>
          <xdr:xfrm>
            <a:off x="0" y="0"/>
            <a:ext cx="0" cy="0"/>
          </xdr:xfrm>
          <a:graphic>
            <a:graphicData uri="http://schemas.microsoft.com/office/drawing/2010/slicer">
              <sle:slicer xmlns:sle="http://schemas.microsoft.com/office/drawing/2010/slicer" name="Customer_Gender"/>
            </a:graphicData>
          </a:graphic>
        </xdr:graphicFrame>
      </mc:Choice>
      <mc:Fallback xmlns="">
        <xdr:sp macro="" textlink="">
          <xdr:nvSpPr>
            <xdr:cNvPr id="0" name=""/>
            <xdr:cNvSpPr>
              <a:spLocks noTextEdit="1"/>
            </xdr:cNvSpPr>
          </xdr:nvSpPr>
          <xdr:spPr>
            <a:xfrm>
              <a:off x="6578374" y="6073255"/>
              <a:ext cx="1420408" cy="1611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485913</xdr:colOff>
      <xdr:row>7</xdr:row>
      <xdr:rowOff>121478</xdr:rowOff>
    </xdr:from>
    <xdr:to>
      <xdr:col>24</xdr:col>
      <xdr:colOff>187738</xdr:colOff>
      <xdr:row>37</xdr:row>
      <xdr:rowOff>165652</xdr:rowOff>
    </xdr:to>
    <xdr:sp macro="" textlink="">
      <xdr:nvSpPr>
        <xdr:cNvPr id="11" name="Scroll: Vertical 10">
          <a:extLst>
            <a:ext uri="{FF2B5EF4-FFF2-40B4-BE49-F238E27FC236}">
              <a16:creationId xmlns:a16="http://schemas.microsoft.com/office/drawing/2014/main" id="{51317314-4040-8A53-6A15-F4F67A74979E}"/>
            </a:ext>
          </a:extLst>
        </xdr:cNvPr>
        <xdr:cNvSpPr/>
      </xdr:nvSpPr>
      <xdr:spPr>
        <a:xfrm flipH="1">
          <a:off x="10891585" y="1520560"/>
          <a:ext cx="3986514" cy="5665485"/>
        </a:xfrm>
        <a:prstGeom prst="verticalScroll">
          <a:avLst/>
        </a:prstGeom>
        <a:solidFill>
          <a:schemeClr val="accent1">
            <a:lumMod val="60000"/>
            <a:lumOff val="4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US" sz="2800" b="1" i="1">
              <a:effectLst>
                <a:glow rad="228600">
                  <a:schemeClr val="accent1">
                    <a:satMod val="175000"/>
                    <a:alpha val="40000"/>
                  </a:schemeClr>
                </a:glow>
              </a:effectLst>
            </a:rPr>
            <a:t>Insights</a:t>
          </a:r>
        </a:p>
        <a:p>
          <a:pPr algn="l"/>
          <a:endParaRPr lang="en-US" sz="1100"/>
        </a:p>
        <a:p>
          <a:pPr algn="l"/>
          <a:endParaRPr lang="en-US" sz="1100"/>
        </a:p>
        <a:p>
          <a:pPr marL="0" marR="0" lvl="0" indent="0" algn="l" defTabSz="914400" eaLnBrk="1" fontAlgn="auto" latinLnBrk="0" hangingPunct="1">
            <a:lnSpc>
              <a:spcPct val="100000"/>
            </a:lnSpc>
            <a:spcBef>
              <a:spcPts val="0"/>
            </a:spcBef>
            <a:spcAft>
              <a:spcPts val="0"/>
            </a:spcAft>
            <a:buClrTx/>
            <a:buSzTx/>
            <a:buFontTx/>
            <a:buNone/>
            <a:tabLst/>
            <a:defRPr/>
          </a:pPr>
          <a:r>
            <a:rPr lang="en-US" sz="1500" b="0" i="1">
              <a:solidFill>
                <a:schemeClr val="dk1"/>
              </a:solidFill>
              <a:effectLst>
                <a:glow rad="63500">
                  <a:schemeClr val="accent1">
                    <a:satMod val="175000"/>
                    <a:alpha val="40000"/>
                  </a:schemeClr>
                </a:glow>
                <a:outerShdw blurRad="50800" dist="38100" dir="2700000" algn="tl" rotWithShape="0">
                  <a:prstClr val="black">
                    <a:alpha val="40000"/>
                  </a:prstClr>
                </a:outerShdw>
              </a:effectLst>
              <a:latin typeface="+mn-lt"/>
              <a:ea typeface="+mn-ea"/>
              <a:cs typeface="+mn-cs"/>
            </a:rPr>
            <a:t>United States Leads: $135,784 revenue—37.4% of total—with $61,413 profit.</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500" b="0" i="1">
            <a:solidFill>
              <a:schemeClr val="dk1"/>
            </a:solidFill>
            <a:effectLst>
              <a:glow rad="63500">
                <a:schemeClr val="accent1">
                  <a:satMod val="175000"/>
                  <a:alpha val="40000"/>
                </a:schemeClr>
              </a:glow>
              <a:outerShdw blurRad="50800" dist="38100" dir="2700000" algn="tl" rotWithShape="0">
                <a:prstClr val="black">
                  <a:alpha val="40000"/>
                </a:prstClr>
              </a:outerShdw>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500" b="0" i="1">
              <a:solidFill>
                <a:schemeClr val="dk1"/>
              </a:solidFill>
              <a:effectLst>
                <a:glow rad="63500">
                  <a:schemeClr val="accent1">
                    <a:satMod val="175000"/>
                    <a:alpha val="40000"/>
                  </a:schemeClr>
                </a:glow>
              </a:effectLst>
              <a:latin typeface="+mn-lt"/>
              <a:ea typeface="+mn-ea"/>
              <a:cs typeface="+mn-cs"/>
            </a:rPr>
            <a:t>Adults Drive Demand: Adults generated $208,551 revenue—57.4% of total—and bought 100 units.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500" b="0" i="1">
            <a:solidFill>
              <a:schemeClr val="dk1"/>
            </a:solidFill>
            <a:effectLst>
              <a:glow rad="63500">
                <a:schemeClr val="accent1">
                  <a:satMod val="175000"/>
                  <a:alpha val="40000"/>
                </a:schemeClr>
              </a:glow>
              <a:outerShdw blurRad="50800" dist="38100" dir="2700000" algn="tl" rotWithShape="0">
                <a:prstClr val="black">
                  <a:alpha val="40000"/>
                </a:prstClr>
              </a:outerShdw>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500" b="0" i="1">
              <a:solidFill>
                <a:schemeClr val="dk1"/>
              </a:solidFill>
              <a:effectLst>
                <a:glow rad="63500">
                  <a:schemeClr val="accent1">
                    <a:satMod val="175000"/>
                    <a:alpha val="40000"/>
                  </a:schemeClr>
                </a:glow>
              </a:effectLst>
              <a:latin typeface="+mn-lt"/>
              <a:ea typeface="+mn-ea"/>
              <a:cs typeface="+mn-cs"/>
            </a:rPr>
            <a:t>Female Customers Lead: Female customers generated $216,049 revenue—59.4% of total—and bought 108 units.</a:t>
          </a:r>
        </a:p>
        <a:p>
          <a:pPr algn="l"/>
          <a:endParaRPr lang="en-US" sz="1500" b="0" i="1">
            <a:effectLst>
              <a:glow rad="63500">
                <a:schemeClr val="accent1">
                  <a:satMod val="175000"/>
                  <a:alpha val="40000"/>
                </a:schemeClr>
              </a:glow>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500" b="0" i="1">
              <a:solidFill>
                <a:schemeClr val="dk1"/>
              </a:solidFill>
              <a:effectLst>
                <a:glow rad="63500">
                  <a:schemeClr val="accent1">
                    <a:satMod val="175000"/>
                    <a:alpha val="40000"/>
                  </a:schemeClr>
                </a:glow>
              </a:effectLst>
              <a:latin typeface="+mn-lt"/>
              <a:ea typeface="+mn-ea"/>
              <a:cs typeface="+mn-cs"/>
            </a:rPr>
            <a:t>Strong Profitability: Total profit was $164,551, representing a 45.3% profit-to-revenue ratio.</a:t>
          </a:r>
        </a:p>
        <a:p>
          <a:pPr algn="l"/>
          <a:endParaRPr lang="en-US" sz="1100"/>
        </a:p>
      </xdr:txBody>
    </xdr:sp>
    <xdr:clientData/>
  </xdr:twoCellAnchor>
  <xdr:twoCellAnchor>
    <xdr:from>
      <xdr:col>13</xdr:col>
      <xdr:colOff>380119</xdr:colOff>
      <xdr:row>21</xdr:row>
      <xdr:rowOff>119094</xdr:rowOff>
    </xdr:from>
    <xdr:to>
      <xdr:col>18</xdr:col>
      <xdr:colOff>55217</xdr:colOff>
      <xdr:row>40</xdr:row>
      <xdr:rowOff>58640</xdr:rowOff>
    </xdr:to>
    <xdr:sp macro="" textlink="">
      <xdr:nvSpPr>
        <xdr:cNvPr id="2" name="Scroll: Horizontal 1">
          <a:extLst>
            <a:ext uri="{FF2B5EF4-FFF2-40B4-BE49-F238E27FC236}">
              <a16:creationId xmlns:a16="http://schemas.microsoft.com/office/drawing/2014/main" id="{1AA7EAB7-5A66-9C31-160D-C7EC25C6AB86}"/>
            </a:ext>
          </a:extLst>
        </xdr:cNvPr>
        <xdr:cNvSpPr/>
      </xdr:nvSpPr>
      <xdr:spPr>
        <a:xfrm>
          <a:off x="8337398" y="4141455"/>
          <a:ext cx="2735589" cy="3499710"/>
        </a:xfrm>
        <a:prstGeom prst="horizontalScrol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i="1">
              <a:solidFill>
                <a:schemeClr val="tx1">
                  <a:lumMod val="95000"/>
                  <a:lumOff val="5000"/>
                </a:schemeClr>
              </a:solidFill>
              <a:effectLst/>
              <a:latin typeface="Algerian" panose="04020705040A02060702" pitchFamily="82" charset="0"/>
              <a:ea typeface="+mn-ea"/>
              <a:cs typeface="+mn-cs"/>
            </a:rPr>
            <a:t>Conclusion</a:t>
          </a:r>
          <a:endParaRPr lang="en-US" sz="1100" b="1" i="1">
            <a:solidFill>
              <a:schemeClr val="tx1">
                <a:lumMod val="95000"/>
                <a:lumOff val="5000"/>
              </a:schemeClr>
            </a:solidFill>
            <a:effectLst/>
            <a:latin typeface="Algerian" panose="04020705040A02060702" pitchFamily="82" charset="0"/>
            <a:ea typeface="+mn-ea"/>
            <a:cs typeface="+mn-cs"/>
          </a:endParaRPr>
        </a:p>
        <a:p>
          <a:pPr algn="l"/>
          <a:r>
            <a:rPr lang="en-US" sz="1100" b="1" i="0">
              <a:solidFill>
                <a:schemeClr val="tx1">
                  <a:lumMod val="95000"/>
                  <a:lumOff val="5000"/>
                </a:schemeClr>
              </a:solidFill>
              <a:effectLst/>
              <a:latin typeface="+mn-lt"/>
              <a:ea typeface="+mn-ea"/>
              <a:cs typeface="+mn-cs"/>
            </a:rPr>
            <a:t>The bike sales data shows strong performance, generating $363,527 in revenue and $164,551 in profit, with a healthy 45.3% profit margin. The United States is the leading market, while Adults aged 35–64 and female customers are the strongest customer segments. The business should prioritize these high-performing segments while developing targeted strategies to grow sales in weaker markets and customer groups.</a:t>
          </a:r>
          <a:endParaRPr lang="en-US" sz="1100" b="1">
            <a:solidFill>
              <a:schemeClr val="tx1">
                <a:lumMod val="95000"/>
                <a:lumOff val="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k mittal" refreshedDate="46302.424272800927" createdVersion="8" refreshedVersion="8" minRefreshableVersion="3" recordCount="89" xr:uid="{05933F8C-24BD-4C78-ADC0-F0817487B27E}">
  <cacheSource type="worksheet">
    <worksheetSource name="Table1_1"/>
  </cacheSource>
  <cacheFields count="19">
    <cacheField name="Sales_Order #" numFmtId="49">
      <sharedItems/>
    </cacheField>
    <cacheField name="Date" numFmtId="14">
      <sharedItems containsSemiMixedTypes="0" containsNonDate="0" containsDate="1" containsString="0" minDate="2021-12-01T00:00:00" maxDate="2021-12-25T00:00:00"/>
    </cacheField>
    <cacheField name="Day" numFmtId="0">
      <sharedItems containsSemiMixedTypes="0" containsString="0" containsNumber="1" containsInteger="1" minValue="1" maxValue="24"/>
    </cacheField>
    <cacheField name="Month" numFmtId="0">
      <sharedItems/>
    </cacheField>
    <cacheField name="Year" numFmtId="0">
      <sharedItems containsSemiMixedTypes="0" containsString="0" containsNumber="1" containsInteger="1" minValue="2021" maxValue="2021"/>
    </cacheField>
    <cacheField name="Customer_Age" numFmtId="0">
      <sharedItems containsSemiMixedTypes="0" containsString="0" containsNumber="1" containsInteger="1" minValue="17" maxValue="63"/>
    </cacheField>
    <cacheField name="Age_Group" numFmtId="0">
      <sharedItems count="3">
        <s v="Adults (35-64)"/>
        <s v="Young Adults (25-34)"/>
        <s v="Youth (&lt;25)"/>
      </sharedItems>
    </cacheField>
    <cacheField name="Customer_Gender" numFmtId="0">
      <sharedItems count="2">
        <s v="Female"/>
        <s v="Male"/>
      </sharedItems>
    </cacheField>
    <cacheField name="Country" numFmtId="0">
      <sharedItems count="6">
        <s v="United States"/>
        <s v="United Kingdom"/>
        <s v="Australia"/>
        <s v="Germany"/>
        <s v="Canada"/>
        <s v="France"/>
      </sharedItems>
    </cacheField>
    <cacheField name="State" numFmtId="0">
      <sharedItems/>
    </cacheField>
    <cacheField name="Product_Category" numFmtId="0">
      <sharedItems/>
    </cacheField>
    <cacheField name="Sub_Category" numFmtId="0">
      <sharedItems/>
    </cacheField>
    <cacheField name="Product_Description" numFmtId="0">
      <sharedItems/>
    </cacheField>
    <cacheField name="Order_Quantity" numFmtId="0">
      <sharedItems containsSemiMixedTypes="0" containsString="0" containsNumber="1" containsInteger="1" minValue="1" maxValue="4"/>
    </cacheField>
    <cacheField name="Unit_Cost" numFmtId="165">
      <sharedItems containsSemiMixedTypes="0" containsString="0" containsNumber="1" containsInteger="1" minValue="295" maxValue="1912"/>
    </cacheField>
    <cacheField name="Unit_Price" numFmtId="165">
      <sharedItems containsSemiMixedTypes="0" containsString="0" containsNumber="1" containsInteger="1" minValue="540" maxValue="3400"/>
    </cacheField>
    <cacheField name="Profit" numFmtId="165">
      <sharedItems containsSemiMixedTypes="0" containsString="0" containsNumber="1" containsInteger="1" minValue="245" maxValue="5908"/>
    </cacheField>
    <cacheField name="Cost" numFmtId="165">
      <sharedItems containsSemiMixedTypes="0" containsString="0" containsNumber="1" containsInteger="1" minValue="295" maxValue="7592"/>
    </cacheField>
    <cacheField name="Revenue" numFmtId="165">
      <sharedItems containsSemiMixedTypes="0" containsString="0" containsNumber="1" containsInteger="1" minValue="540" maxValue="13500"/>
    </cacheField>
  </cacheFields>
  <extLst>
    <ext xmlns:x14="http://schemas.microsoft.com/office/spreadsheetml/2009/9/main" uri="{725AE2AE-9491-48be-B2B4-4EB974FC3084}">
      <x14:pivotCacheDefinition pivotCacheId="10803730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
  <r>
    <s v="000261695"/>
    <d v="2021-12-01T00:00:00"/>
    <n v="1"/>
    <s v="December"/>
    <n v="2021"/>
    <n v="39"/>
    <x v="0"/>
    <x v="0"/>
    <x v="0"/>
    <s v="California"/>
    <s v="Bikes"/>
    <s v="Mountain Bikes"/>
    <s v="Mountain-200 Black, 46"/>
    <n v="4"/>
    <n v="1252"/>
    <n v="2295"/>
    <n v="4172"/>
    <n v="5008"/>
    <n v="9180"/>
  </r>
  <r>
    <s v="000261695"/>
    <d v="2021-12-01T00:00:00"/>
    <n v="1"/>
    <s v="December"/>
    <n v="2021"/>
    <n v="44"/>
    <x v="0"/>
    <x v="1"/>
    <x v="1"/>
    <s v="England"/>
    <s v="Bikes"/>
    <s v="Mountain Bikes"/>
    <s v="Mountain-200 Silver, 42"/>
    <n v="1"/>
    <n v="1266"/>
    <n v="2320"/>
    <n v="1054"/>
    <n v="1266"/>
    <n v="2320"/>
  </r>
  <r>
    <s v="000261697"/>
    <d v="2021-12-02T00:00:00"/>
    <n v="2"/>
    <s v="December"/>
    <n v="2021"/>
    <n v="37"/>
    <x v="0"/>
    <x v="1"/>
    <x v="0"/>
    <s v="California"/>
    <s v="Bikes"/>
    <s v="Mountain Bikes"/>
    <s v="Mountain-400-W Silver, 46"/>
    <n v="2"/>
    <n v="420"/>
    <n v="769"/>
    <n v="698"/>
    <n v="840"/>
    <n v="1538"/>
  </r>
  <r>
    <s v="000261698"/>
    <d v="2021-12-02T00:00:00"/>
    <n v="2"/>
    <s v="December"/>
    <n v="2021"/>
    <n v="31"/>
    <x v="1"/>
    <x v="0"/>
    <x v="2"/>
    <s v="New South Wales"/>
    <s v="Bikes"/>
    <s v="Mountain Bikes"/>
    <s v="Mountain-400-W Silver, 42"/>
    <n v="1"/>
    <n v="420"/>
    <n v="769"/>
    <n v="349"/>
    <n v="420"/>
    <n v="769"/>
  </r>
  <r>
    <s v="000261699"/>
    <d v="2021-12-03T00:00:00"/>
    <n v="3"/>
    <s v="December"/>
    <n v="2021"/>
    <n v="37"/>
    <x v="0"/>
    <x v="0"/>
    <x v="0"/>
    <s v="California"/>
    <s v="Bikes"/>
    <s v="Mountain Bikes"/>
    <s v="Mountain-200 Black, 46"/>
    <n v="2"/>
    <n v="1252"/>
    <n v="2295"/>
    <n v="2086"/>
    <n v="2504"/>
    <n v="4590"/>
  </r>
  <r>
    <s v="000261700"/>
    <d v="2021-12-03T00:00:00"/>
    <n v="3"/>
    <s v="December"/>
    <n v="2021"/>
    <n v="24"/>
    <x v="2"/>
    <x v="0"/>
    <x v="1"/>
    <s v="England"/>
    <s v="Bikes"/>
    <s v="Mountain Bikes"/>
    <s v="Mountain-200 Black, 38"/>
    <n v="1"/>
    <n v="1252"/>
    <n v="2295"/>
    <n v="1043"/>
    <n v="1252"/>
    <n v="2295"/>
  </r>
  <r>
    <s v="000261701"/>
    <d v="2021-12-03T00:00:00"/>
    <n v="3"/>
    <s v="December"/>
    <n v="2021"/>
    <n v="37"/>
    <x v="0"/>
    <x v="1"/>
    <x v="0"/>
    <s v="Washington"/>
    <s v="Bikes"/>
    <s v="Mountain Bikes"/>
    <s v="Mountain-200 Black, 46"/>
    <n v="1"/>
    <n v="1252"/>
    <n v="2295"/>
    <n v="1043"/>
    <n v="1252"/>
    <n v="2295"/>
  </r>
  <r>
    <s v="000261701"/>
    <d v="2021-12-03T00:00:00"/>
    <n v="3"/>
    <s v="December"/>
    <n v="2021"/>
    <n v="37"/>
    <x v="0"/>
    <x v="1"/>
    <x v="0"/>
    <s v="Washington"/>
    <s v="Bikes"/>
    <s v="Mountain Bikes"/>
    <s v="Mountain-200 Black, 46"/>
    <n v="1"/>
    <n v="1252"/>
    <n v="2295"/>
    <n v="1043"/>
    <n v="1252"/>
    <n v="2295"/>
  </r>
  <r>
    <s v="000261702"/>
    <d v="2021-12-04T00:00:00"/>
    <n v="4"/>
    <s v="December"/>
    <n v="2021"/>
    <n v="31"/>
    <x v="1"/>
    <x v="0"/>
    <x v="2"/>
    <s v="New South Wales"/>
    <s v="Bikes"/>
    <s v="Mountain Bikes"/>
    <s v="Mountain-400-W Silver, 42"/>
    <n v="4"/>
    <n v="420"/>
    <n v="769"/>
    <n v="1396"/>
    <n v="1680"/>
    <n v="3076"/>
  </r>
  <r>
    <s v="000261703"/>
    <d v="2021-12-05T00:00:00"/>
    <n v="5"/>
    <s v="December"/>
    <n v="2021"/>
    <n v="39"/>
    <x v="0"/>
    <x v="0"/>
    <x v="0"/>
    <s v="California"/>
    <s v="Bikes"/>
    <s v="Mountain Bikes"/>
    <s v="Mountain-200 Black, 46"/>
    <n v="4"/>
    <n v="1252"/>
    <n v="2295"/>
    <n v="4172"/>
    <n v="5008"/>
    <n v="9180"/>
  </r>
  <r>
    <s v="000261704"/>
    <d v="2021-12-05T00:00:00"/>
    <n v="5"/>
    <s v="December"/>
    <n v="2021"/>
    <n v="42"/>
    <x v="0"/>
    <x v="1"/>
    <x v="3"/>
    <s v="Nordrhein-Westfalen"/>
    <s v="Bikes"/>
    <s v="Mountain Bikes"/>
    <s v="Mountain-200 Black, 38"/>
    <n v="4"/>
    <n v="1252"/>
    <n v="2295"/>
    <n v="4172"/>
    <n v="5008"/>
    <n v="9180"/>
  </r>
  <r>
    <s v="000261705"/>
    <d v="2021-12-05T00:00:00"/>
    <n v="5"/>
    <s v="December"/>
    <n v="2021"/>
    <n v="35"/>
    <x v="0"/>
    <x v="0"/>
    <x v="2"/>
    <s v="Queensland"/>
    <s v="Bikes"/>
    <s v="Mountain Bikes"/>
    <s v="Mountain-200 Silver, 38"/>
    <n v="1"/>
    <n v="1266"/>
    <n v="2320"/>
    <n v="1054"/>
    <n v="1266"/>
    <n v="2320"/>
  </r>
  <r>
    <s v="000261706"/>
    <d v="2021-12-05T00:00:00"/>
    <n v="5"/>
    <s v="December"/>
    <n v="2021"/>
    <n v="37"/>
    <x v="0"/>
    <x v="0"/>
    <x v="0"/>
    <s v="California"/>
    <s v="Bikes"/>
    <s v="Mountain Bikes"/>
    <s v="Mountain-200 Black, 46"/>
    <n v="1"/>
    <n v="1252"/>
    <n v="2295"/>
    <n v="1043"/>
    <n v="1252"/>
    <n v="2295"/>
  </r>
  <r>
    <s v="000261707"/>
    <d v="2021-12-06T00:00:00"/>
    <n v="6"/>
    <s v="December"/>
    <n v="2021"/>
    <n v="23"/>
    <x v="2"/>
    <x v="1"/>
    <x v="1"/>
    <s v="England"/>
    <s v="Bikes"/>
    <s v="Mountain Bikes"/>
    <s v="Mountain-400-W Silver, 46"/>
    <n v="3"/>
    <n v="420"/>
    <n v="769"/>
    <n v="1047"/>
    <n v="1260"/>
    <n v="2307"/>
  </r>
  <r>
    <s v="000261708"/>
    <d v="2021-12-06T00:00:00"/>
    <n v="6"/>
    <s v="December"/>
    <n v="2021"/>
    <n v="27"/>
    <x v="1"/>
    <x v="1"/>
    <x v="4"/>
    <s v="British Columbia"/>
    <s v="Bikes"/>
    <s v="Mountain Bikes"/>
    <s v="Mountain-200 Black, 46"/>
    <n v="1"/>
    <n v="1252"/>
    <n v="2295"/>
    <n v="1043"/>
    <n v="1252"/>
    <n v="2295"/>
  </r>
  <r>
    <s v="000261709"/>
    <d v="2021-12-06T00:00:00"/>
    <n v="6"/>
    <s v="December"/>
    <n v="2021"/>
    <n v="36"/>
    <x v="0"/>
    <x v="1"/>
    <x v="2"/>
    <s v="New South Wales"/>
    <s v="Bikes"/>
    <s v="Mountain Bikes"/>
    <s v="Mountain-200 Black, 42"/>
    <n v="1"/>
    <n v="1252"/>
    <n v="2295"/>
    <n v="1043"/>
    <n v="1252"/>
    <n v="2295"/>
  </r>
  <r>
    <s v="000261710"/>
    <d v="2021-12-06T00:00:00"/>
    <n v="6"/>
    <s v="December"/>
    <n v="2021"/>
    <n v="47"/>
    <x v="0"/>
    <x v="1"/>
    <x v="1"/>
    <s v="England"/>
    <s v="Bikes"/>
    <s v="Mountain Bikes"/>
    <s v="Mountain-200 Silver, 38"/>
    <n v="1"/>
    <n v="1266"/>
    <n v="2320"/>
    <n v="1054"/>
    <n v="1266"/>
    <n v="2320"/>
  </r>
  <r>
    <s v="000261711"/>
    <d v="2021-12-07T00:00:00"/>
    <n v="7"/>
    <s v="December"/>
    <n v="2021"/>
    <n v="30"/>
    <x v="1"/>
    <x v="1"/>
    <x v="0"/>
    <s v="California"/>
    <s v="Bikes"/>
    <s v="Mountain Bikes"/>
    <s v="Mountain-400-W Silver, 38"/>
    <n v="4"/>
    <n v="420"/>
    <n v="769"/>
    <n v="1396"/>
    <n v="1680"/>
    <n v="3076"/>
  </r>
  <r>
    <s v="000261712"/>
    <d v="2021-12-07T00:00:00"/>
    <n v="7"/>
    <s v="December"/>
    <n v="2021"/>
    <n v="38"/>
    <x v="0"/>
    <x v="1"/>
    <x v="0"/>
    <s v="California"/>
    <s v="Bikes"/>
    <s v="Mountain Bikes"/>
    <s v="Mountain-200 Silver, 42"/>
    <n v="2"/>
    <n v="1266"/>
    <n v="2320"/>
    <n v="2108"/>
    <n v="2532"/>
    <n v="4640"/>
  </r>
  <r>
    <s v="000261713"/>
    <d v="2021-12-08T00:00:00"/>
    <n v="8"/>
    <s v="December"/>
    <n v="2021"/>
    <n v="19"/>
    <x v="2"/>
    <x v="0"/>
    <x v="2"/>
    <s v="New South Wales"/>
    <s v="Bikes"/>
    <s v="Mountain Bikes"/>
    <s v="Mountain-500 Silver, 42"/>
    <n v="4"/>
    <n v="308"/>
    <n v="565"/>
    <n v="1028"/>
    <n v="1232"/>
    <n v="2260"/>
  </r>
  <r>
    <s v="000261714"/>
    <d v="2021-12-08T00:00:00"/>
    <n v="8"/>
    <s v="December"/>
    <n v="2021"/>
    <n v="30"/>
    <x v="1"/>
    <x v="0"/>
    <x v="4"/>
    <s v="British Columbia"/>
    <s v="Bikes"/>
    <s v="Mountain Bikes"/>
    <s v="Mountain-200 Silver, 38"/>
    <n v="4"/>
    <n v="1266"/>
    <n v="2320"/>
    <n v="4216"/>
    <n v="5064"/>
    <n v="9280"/>
  </r>
  <r>
    <s v="000261715"/>
    <d v="2021-12-08T00:00:00"/>
    <n v="8"/>
    <s v="December"/>
    <n v="2021"/>
    <n v="39"/>
    <x v="0"/>
    <x v="0"/>
    <x v="0"/>
    <s v="Oregon"/>
    <s v="Bikes"/>
    <s v="Mountain Bikes"/>
    <s v="Unknown (source missing)"/>
    <n v="2"/>
    <n v="1252"/>
    <n v="2295"/>
    <n v="2086"/>
    <n v="2504"/>
    <n v="4590"/>
  </r>
  <r>
    <s v="000261716"/>
    <d v="2021-12-08T00:00:00"/>
    <n v="8"/>
    <s v="December"/>
    <n v="2021"/>
    <n v="35"/>
    <x v="0"/>
    <x v="0"/>
    <x v="0"/>
    <s v="California"/>
    <s v="Bikes"/>
    <s v="Mountain Bikes"/>
    <s v="Mountain-500 Black, 42"/>
    <n v="1"/>
    <n v="295"/>
    <n v="540"/>
    <n v="245"/>
    <n v="295"/>
    <n v="540"/>
  </r>
  <r>
    <s v="000261717"/>
    <d v="2021-12-09T00:00:00"/>
    <n v="9"/>
    <s v="December"/>
    <n v="2021"/>
    <n v="33"/>
    <x v="1"/>
    <x v="0"/>
    <x v="2"/>
    <s v="Victoria"/>
    <s v="Bikes"/>
    <s v="Mountain Bikes"/>
    <s v="Mountain-100 Black, 38"/>
    <n v="2"/>
    <n v="1898"/>
    <n v="3375"/>
    <n v="2954"/>
    <n v="3796"/>
    <n v="6750"/>
  </r>
  <r>
    <s v="000261718"/>
    <d v="2021-12-09T00:00:00"/>
    <n v="9"/>
    <s v="December"/>
    <n v="2021"/>
    <n v="41"/>
    <x v="0"/>
    <x v="0"/>
    <x v="3"/>
    <s v="Hamburg"/>
    <s v="Bikes"/>
    <s v="Mountain Bikes"/>
    <s v="Mountain-200 Silver, 42"/>
    <n v="1"/>
    <n v="1266"/>
    <n v="2320"/>
    <n v="1054"/>
    <n v="1266"/>
    <n v="2320"/>
  </r>
  <r>
    <s v="000261719"/>
    <d v="2021-12-10T00:00:00"/>
    <n v="10"/>
    <s v="December"/>
    <n v="2021"/>
    <n v="34"/>
    <x v="1"/>
    <x v="0"/>
    <x v="0"/>
    <s v="California"/>
    <s v="Bikes"/>
    <s v="Mountain Bikes"/>
    <s v="Mountain-200 Black, 42"/>
    <n v="2"/>
    <n v="1252"/>
    <n v="2295"/>
    <n v="2086"/>
    <n v="2504"/>
    <n v="4590"/>
  </r>
  <r>
    <s v="000261720"/>
    <d v="2021-12-10T00:00:00"/>
    <n v="10"/>
    <s v="December"/>
    <n v="2021"/>
    <n v="40"/>
    <x v="0"/>
    <x v="1"/>
    <x v="2"/>
    <s v="New South Wales"/>
    <s v="Bikes"/>
    <s v="Mountain Bikes"/>
    <s v="Mountain-200 Black, 42"/>
    <n v="2"/>
    <n v="1252"/>
    <n v="2295"/>
    <n v="2086"/>
    <n v="2504"/>
    <n v="4590"/>
  </r>
  <r>
    <s v="000261721"/>
    <d v="2021-12-10T00:00:00"/>
    <n v="10"/>
    <s v="December"/>
    <n v="2021"/>
    <n v="26"/>
    <x v="1"/>
    <x v="1"/>
    <x v="1"/>
    <s v="England"/>
    <s v="Bikes"/>
    <s v="Mountain Bikes"/>
    <s v="Mountain-200 Black, 38"/>
    <n v="1"/>
    <n v="1252"/>
    <n v="2295"/>
    <n v="1043"/>
    <n v="1252"/>
    <n v="2295"/>
  </r>
  <r>
    <s v="000261722"/>
    <d v="2021-12-10T00:00:00"/>
    <n v="10"/>
    <s v="December"/>
    <n v="2021"/>
    <n v="34"/>
    <x v="1"/>
    <x v="1"/>
    <x v="0"/>
    <s v="California"/>
    <s v="Bikes"/>
    <s v="Mountain Bikes"/>
    <s v="Mountain-500 Black, 40"/>
    <n v="1"/>
    <n v="295"/>
    <n v="540"/>
    <n v="245"/>
    <n v="295"/>
    <n v="540"/>
  </r>
  <r>
    <s v="000261723"/>
    <d v="2021-12-10T00:00:00"/>
    <n v="10"/>
    <s v="December"/>
    <n v="2021"/>
    <n v="34"/>
    <x v="1"/>
    <x v="0"/>
    <x v="0"/>
    <s v="Washington"/>
    <s v="Bikes"/>
    <s v="Mountain Bikes"/>
    <s v="Mountain-100 Silver, 44"/>
    <n v="1"/>
    <n v="1912"/>
    <n v="3400"/>
    <n v="1488"/>
    <n v="1912"/>
    <n v="3400"/>
  </r>
  <r>
    <s v="000261724"/>
    <d v="2021-12-10T00:00:00"/>
    <n v="10"/>
    <s v="December"/>
    <n v="2021"/>
    <n v="38"/>
    <x v="0"/>
    <x v="1"/>
    <x v="2"/>
    <s v="New South Wales"/>
    <s v="Bikes"/>
    <s v="Mountain Bikes"/>
    <s v="Mountain-200 Black, 38"/>
    <n v="1"/>
    <n v="1252"/>
    <n v="2295"/>
    <n v="1043"/>
    <n v="1252"/>
    <n v="2295"/>
  </r>
  <r>
    <s v="000261725"/>
    <d v="2021-12-11T00:00:00"/>
    <n v="11"/>
    <s v="December"/>
    <n v="2021"/>
    <n v="24"/>
    <x v="2"/>
    <x v="0"/>
    <x v="5"/>
    <s v="Seine (Paris)"/>
    <s v="Bikes"/>
    <s v="Mountain Bikes"/>
    <s v="Mountain-200 Black, 38"/>
    <n v="3"/>
    <n v="1252"/>
    <n v="2295"/>
    <n v="3129"/>
    <n v="3756"/>
    <n v="6885"/>
  </r>
  <r>
    <s v="000261726"/>
    <d v="2021-12-11T00:00:00"/>
    <n v="11"/>
    <s v="December"/>
    <n v="2021"/>
    <n v="41"/>
    <x v="0"/>
    <x v="0"/>
    <x v="2"/>
    <s v="New South Wales"/>
    <s v="Bikes"/>
    <s v="Mountain Bikes"/>
    <s v="Mountain-400-W Silver, 38"/>
    <n v="2"/>
    <n v="420"/>
    <n v="769"/>
    <n v="698"/>
    <n v="840"/>
    <n v="1538"/>
  </r>
  <r>
    <s v="000261727"/>
    <d v="2021-12-11T00:00:00"/>
    <n v="11"/>
    <s v="December"/>
    <n v="2021"/>
    <n v="27"/>
    <x v="1"/>
    <x v="1"/>
    <x v="4"/>
    <s v="British Columbia"/>
    <s v="Bikes"/>
    <s v="Mountain Bikes"/>
    <s v="Mountain-200 Black, 46"/>
    <n v="1"/>
    <n v="1252"/>
    <n v="2295"/>
    <n v="1043"/>
    <n v="1252"/>
    <n v="2295"/>
  </r>
  <r>
    <s v="000261728"/>
    <d v="2021-12-11T00:00:00"/>
    <n v="11"/>
    <s v="December"/>
    <n v="2021"/>
    <n v="37"/>
    <x v="0"/>
    <x v="1"/>
    <x v="0"/>
    <s v="California"/>
    <s v="Bikes"/>
    <s v="Mountain Bikes"/>
    <s v="Mountain-400-W Silver, 46"/>
    <n v="1"/>
    <n v="420"/>
    <n v="769"/>
    <n v="349"/>
    <n v="420"/>
    <n v="769"/>
  </r>
  <r>
    <s v="000261729"/>
    <d v="2021-12-11T00:00:00"/>
    <n v="11"/>
    <s v="December"/>
    <n v="2021"/>
    <n v="38"/>
    <x v="0"/>
    <x v="0"/>
    <x v="0"/>
    <s v="California"/>
    <s v="Bikes"/>
    <s v="Mountain Bikes"/>
    <s v="Mountain-200 Silver, 38"/>
    <n v="1"/>
    <n v="1266"/>
    <n v="2320"/>
    <n v="1054"/>
    <n v="1266"/>
    <n v="2320"/>
  </r>
  <r>
    <s v="000261730"/>
    <d v="2021-12-12T00:00:00"/>
    <n v="12"/>
    <s v="December"/>
    <n v="2021"/>
    <n v="36"/>
    <x v="0"/>
    <x v="0"/>
    <x v="2"/>
    <s v="New South Wales"/>
    <s v="Bikes"/>
    <s v="Mountain Bikes"/>
    <s v="Mountain-200 Silver, 42"/>
    <n v="4"/>
    <n v="1266"/>
    <n v="2320"/>
    <n v="4216"/>
    <n v="5064"/>
    <n v="9280"/>
  </r>
  <r>
    <s v="000261731"/>
    <d v="2021-12-12T00:00:00"/>
    <n v="12"/>
    <s v="December"/>
    <n v="2021"/>
    <n v="37"/>
    <x v="0"/>
    <x v="1"/>
    <x v="0"/>
    <s v="California"/>
    <s v="Bikes"/>
    <s v="Mountain Bikes"/>
    <s v="Mountain-400-W Silver, 46"/>
    <n v="4"/>
    <n v="420"/>
    <n v="769"/>
    <n v="1396"/>
    <n v="1680"/>
    <n v="3076"/>
  </r>
  <r>
    <s v="000261732"/>
    <d v="2021-12-12T00:00:00"/>
    <n v="12"/>
    <s v="December"/>
    <n v="2021"/>
    <n v="34"/>
    <x v="1"/>
    <x v="1"/>
    <x v="2"/>
    <s v="New South Wales"/>
    <s v="Bikes"/>
    <s v="Mountain Bikes"/>
    <s v="Mountain-200 Black, 38"/>
    <n v="2"/>
    <n v="1252"/>
    <n v="2295"/>
    <n v="2086"/>
    <n v="2504"/>
    <n v="4590"/>
  </r>
  <r>
    <s v="000261733"/>
    <d v="2021-12-12T00:00:00"/>
    <n v="12"/>
    <s v="December"/>
    <n v="2021"/>
    <n v="35"/>
    <x v="0"/>
    <x v="0"/>
    <x v="2"/>
    <s v="Victoria"/>
    <s v="Bikes"/>
    <s v="Mountain Bikes"/>
    <s v="Mountain-200 Silver, 42"/>
    <n v="1"/>
    <n v="1266"/>
    <n v="2320"/>
    <n v="1054"/>
    <n v="1266"/>
    <n v="2320"/>
  </r>
  <r>
    <s v="000261734"/>
    <d v="2021-12-12T00:00:00"/>
    <n v="12"/>
    <s v="December"/>
    <n v="2021"/>
    <n v="38"/>
    <x v="0"/>
    <x v="0"/>
    <x v="0"/>
    <s v="Washington"/>
    <s v="Bikes"/>
    <s v="Mountain Bikes"/>
    <s v="Mountain-200 Silver, 42"/>
    <n v="1"/>
    <n v="1266"/>
    <n v="2320"/>
    <n v="1054"/>
    <n v="1266"/>
    <n v="2320"/>
  </r>
  <r>
    <s v="000261735"/>
    <d v="2021-12-13T00:00:00"/>
    <n v="13"/>
    <s v="December"/>
    <n v="2021"/>
    <n v="32"/>
    <x v="1"/>
    <x v="0"/>
    <x v="2"/>
    <s v="Queensland"/>
    <s v="Bikes"/>
    <s v="Mountain Bikes"/>
    <s v="Mountain-200 Silver, 42"/>
    <n v="3"/>
    <n v="1266"/>
    <n v="2320"/>
    <n v="3162"/>
    <n v="3798"/>
    <n v="6960"/>
  </r>
  <r>
    <s v="000261736"/>
    <d v="2021-12-13T00:00:00"/>
    <n v="13"/>
    <s v="December"/>
    <n v="2021"/>
    <n v="40"/>
    <x v="0"/>
    <x v="0"/>
    <x v="0"/>
    <s v="California"/>
    <s v="Bikes"/>
    <s v="Mountain Bikes"/>
    <s v="Mountain-500 Silver, 40"/>
    <n v="1"/>
    <n v="308"/>
    <n v="565"/>
    <n v="257"/>
    <n v="308"/>
    <n v="565"/>
  </r>
  <r>
    <s v="000261737"/>
    <d v="2021-12-13T00:00:00"/>
    <n v="13"/>
    <s v="December"/>
    <n v="2021"/>
    <n v="44"/>
    <x v="0"/>
    <x v="0"/>
    <x v="1"/>
    <s v="England"/>
    <s v="Bikes"/>
    <s v="Mountain Bikes"/>
    <s v="Mountain-200 Black, 38"/>
    <n v="1"/>
    <n v="1252"/>
    <n v="2295"/>
    <n v="1043"/>
    <n v="1252"/>
    <n v="2295"/>
  </r>
  <r>
    <s v="000261738"/>
    <d v="2021-12-13T00:00:00"/>
    <n v="13"/>
    <s v="December"/>
    <n v="2021"/>
    <n v="49"/>
    <x v="0"/>
    <x v="1"/>
    <x v="1"/>
    <s v="England"/>
    <s v="Bikes"/>
    <s v="Mountain Bikes"/>
    <s v="Mountain-200 Black, 38"/>
    <n v="1"/>
    <n v="1252"/>
    <n v="2295"/>
    <n v="1043"/>
    <n v="1252"/>
    <n v="2295"/>
  </r>
  <r>
    <s v="000261739"/>
    <d v="2021-12-14T00:00:00"/>
    <n v="14"/>
    <s v="December"/>
    <n v="2021"/>
    <n v="30"/>
    <x v="1"/>
    <x v="0"/>
    <x v="0"/>
    <s v="Washington"/>
    <s v="Bikes"/>
    <s v="Mountain Bikes"/>
    <s v="Mountain-200 Silver, 38"/>
    <n v="2"/>
    <n v="1266"/>
    <n v="2320"/>
    <n v="2108"/>
    <n v="2532"/>
    <n v="4640"/>
  </r>
  <r>
    <s v="000261740"/>
    <d v="2021-12-14T00:00:00"/>
    <n v="14"/>
    <s v="December"/>
    <n v="2021"/>
    <n v="32"/>
    <x v="1"/>
    <x v="1"/>
    <x v="0"/>
    <s v="California"/>
    <s v="Bikes"/>
    <s v="Mountain Bikes"/>
    <s v="Mountain-200 Black, 46"/>
    <n v="1"/>
    <n v="1252"/>
    <n v="2295"/>
    <n v="1043"/>
    <n v="1252"/>
    <n v="2295"/>
  </r>
  <r>
    <s v="000261741"/>
    <d v="2021-12-14T00:00:00"/>
    <n v="14"/>
    <s v="December"/>
    <n v="2021"/>
    <n v="32"/>
    <x v="1"/>
    <x v="0"/>
    <x v="2"/>
    <s v="Victoria"/>
    <s v="Bikes"/>
    <s v="Mountain Bikes"/>
    <s v="Mountain-400-W Silver, 46"/>
    <n v="1"/>
    <n v="420"/>
    <n v="769"/>
    <n v="349"/>
    <n v="420"/>
    <n v="769"/>
  </r>
  <r>
    <s v="000261742"/>
    <d v="2021-12-15T00:00:00"/>
    <n v="15"/>
    <s v="December"/>
    <n v="2021"/>
    <n v="29"/>
    <x v="1"/>
    <x v="0"/>
    <x v="0"/>
    <s v="California"/>
    <s v="Bikes"/>
    <s v="Mountain Bikes"/>
    <s v="Mountain-200 Silver, 42"/>
    <n v="1"/>
    <n v="1266"/>
    <n v="2320"/>
    <n v="1054"/>
    <n v="1266"/>
    <n v="2320"/>
  </r>
  <r>
    <s v="000261743"/>
    <d v="2021-12-16T00:00:00"/>
    <n v="16"/>
    <s v="December"/>
    <n v="2021"/>
    <n v="33"/>
    <x v="1"/>
    <x v="0"/>
    <x v="2"/>
    <s v="New South Wales"/>
    <s v="Bikes"/>
    <s v="Mountain Bikes"/>
    <s v="Mountain-200 Black, 38"/>
    <n v="2"/>
    <n v="1252"/>
    <n v="2295"/>
    <n v="2086"/>
    <n v="2504"/>
    <n v="4590"/>
  </r>
  <r>
    <s v="000261744"/>
    <d v="2021-12-16T00:00:00"/>
    <n v="16"/>
    <s v="December"/>
    <n v="2021"/>
    <n v="38"/>
    <x v="0"/>
    <x v="1"/>
    <x v="2"/>
    <s v="New South Wales"/>
    <s v="Bikes"/>
    <s v="Mountain Bikes"/>
    <s v="Mountain-200 Black, 38"/>
    <n v="2"/>
    <n v="1252"/>
    <n v="2295"/>
    <n v="2086"/>
    <n v="2504"/>
    <n v="4590"/>
  </r>
  <r>
    <s v="000261745"/>
    <d v="2021-12-16T00:00:00"/>
    <n v="16"/>
    <s v="December"/>
    <n v="2021"/>
    <n v="27"/>
    <x v="1"/>
    <x v="0"/>
    <x v="5"/>
    <s v="Seine et Marne"/>
    <s v="Bikes"/>
    <s v="Mountain Bikes"/>
    <s v="Mountain-200 Silver, 46"/>
    <n v="1"/>
    <n v="1266"/>
    <n v="2320"/>
    <n v="1054"/>
    <n v="1266"/>
    <n v="2320"/>
  </r>
  <r>
    <s v="000261746"/>
    <d v="2021-12-17T00:00:00"/>
    <n v="17"/>
    <s v="December"/>
    <n v="2021"/>
    <n v="37"/>
    <x v="0"/>
    <x v="0"/>
    <x v="0"/>
    <s v="Washington"/>
    <s v="Bikes"/>
    <s v="Mountain Bikes"/>
    <s v="Mountain-200 Silver, 38"/>
    <n v="2"/>
    <n v="1266"/>
    <n v="2320"/>
    <n v="2108"/>
    <n v="2532"/>
    <n v="4640"/>
  </r>
  <r>
    <s v="000261747"/>
    <d v="2021-12-17T00:00:00"/>
    <n v="17"/>
    <s v="December"/>
    <n v="2021"/>
    <n v="31"/>
    <x v="1"/>
    <x v="1"/>
    <x v="2"/>
    <s v="New South Wales"/>
    <s v="Bikes"/>
    <s v="Mountain Bikes"/>
    <s v="Mountain-400-W Silver, 42"/>
    <n v="1"/>
    <n v="420"/>
    <n v="769"/>
    <n v="349"/>
    <n v="420"/>
    <n v="769"/>
  </r>
  <r>
    <s v="000261748"/>
    <d v="2021-12-17T00:00:00"/>
    <n v="17"/>
    <s v="December"/>
    <n v="2021"/>
    <n v="42"/>
    <x v="0"/>
    <x v="0"/>
    <x v="3"/>
    <s v="Nordrhein-Westfalen"/>
    <s v="Bikes"/>
    <s v="Mountain Bikes"/>
    <s v="Mountain-200 Silver, 46"/>
    <n v="1"/>
    <n v="1266"/>
    <n v="2320"/>
    <n v="1054"/>
    <n v="1266"/>
    <n v="2320"/>
  </r>
  <r>
    <s v="000261749"/>
    <d v="2021-12-18T00:00:00"/>
    <n v="18"/>
    <s v="December"/>
    <n v="2021"/>
    <n v="35"/>
    <x v="0"/>
    <x v="0"/>
    <x v="2"/>
    <s v="New South Wales"/>
    <s v="Bikes"/>
    <s v="Mountain Bikes"/>
    <s v="Mountain-500 Silver, 42"/>
    <n v="4"/>
    <n v="308"/>
    <n v="565"/>
    <n v="1028"/>
    <n v="1232"/>
    <n v="2260"/>
  </r>
  <r>
    <s v="000261750"/>
    <d v="2021-12-18T00:00:00"/>
    <n v="18"/>
    <s v="December"/>
    <n v="2021"/>
    <n v="38"/>
    <x v="0"/>
    <x v="0"/>
    <x v="3"/>
    <s v="Nordrhein-Westfalen"/>
    <s v="Bikes"/>
    <s v="Mountain Bikes"/>
    <s v="Mountain-200 Silver, 46"/>
    <n v="4"/>
    <n v="1266"/>
    <n v="2320"/>
    <n v="4216"/>
    <n v="5064"/>
    <n v="9280"/>
  </r>
  <r>
    <s v="000261751"/>
    <d v="2021-12-18T00:00:00"/>
    <n v="18"/>
    <s v="December"/>
    <n v="2021"/>
    <n v="24"/>
    <x v="2"/>
    <x v="0"/>
    <x v="5"/>
    <s v="Seine Saint Denis"/>
    <s v="Bikes"/>
    <s v="Mountain Bikes"/>
    <s v="Mountain-200 Silver, 38"/>
    <n v="3"/>
    <n v="1266"/>
    <n v="2320"/>
    <n v="3162"/>
    <n v="3798"/>
    <n v="6960"/>
  </r>
  <r>
    <s v="000261752"/>
    <d v="2021-12-18T00:00:00"/>
    <n v="18"/>
    <s v="December"/>
    <n v="2021"/>
    <n v="26"/>
    <x v="1"/>
    <x v="0"/>
    <x v="1"/>
    <s v="England"/>
    <s v="Bikes"/>
    <s v="Mountain Bikes"/>
    <s v="Mountain-400-W Silver, 42"/>
    <n v="3"/>
    <n v="420"/>
    <n v="769"/>
    <n v="1047"/>
    <n v="1260"/>
    <n v="2307"/>
  </r>
  <r>
    <s v="000261753"/>
    <d v="2021-12-18T00:00:00"/>
    <n v="18"/>
    <s v="December"/>
    <n v="2021"/>
    <n v="39"/>
    <x v="0"/>
    <x v="1"/>
    <x v="0"/>
    <s v="California"/>
    <s v="Bikes"/>
    <s v="Mountain Bikes"/>
    <s v="Mountain-200 Black, 42"/>
    <n v="3"/>
    <n v="1252"/>
    <n v="2295"/>
    <n v="3129"/>
    <n v="3756"/>
    <n v="6885"/>
  </r>
  <r>
    <s v="000261754"/>
    <d v="2021-12-18T00:00:00"/>
    <n v="18"/>
    <s v="December"/>
    <n v="2021"/>
    <n v="26"/>
    <x v="1"/>
    <x v="1"/>
    <x v="5"/>
    <s v="Seine (Paris)"/>
    <s v="Bikes"/>
    <s v="Mountain Bikes"/>
    <s v="Mountain-200 Black, 46"/>
    <n v="1"/>
    <n v="1252"/>
    <n v="2295"/>
    <n v="1043"/>
    <n v="1252"/>
    <n v="2295"/>
  </r>
  <r>
    <s v="000261755"/>
    <d v="2021-12-18T00:00:00"/>
    <n v="18"/>
    <s v="December"/>
    <n v="2021"/>
    <n v="36"/>
    <x v="0"/>
    <x v="1"/>
    <x v="0"/>
    <s v="Washington"/>
    <s v="Bikes"/>
    <s v="Mountain Bikes"/>
    <s v="Mountain-200 Silver, 38"/>
    <n v="1"/>
    <n v="1266"/>
    <n v="2320"/>
    <n v="1054"/>
    <n v="1266"/>
    <n v="2320"/>
  </r>
  <r>
    <s v="000261756"/>
    <d v="2021-12-19T00:00:00"/>
    <n v="19"/>
    <s v="December"/>
    <n v="2021"/>
    <n v="17"/>
    <x v="2"/>
    <x v="1"/>
    <x v="5"/>
    <s v="Nord"/>
    <s v="Bikes"/>
    <s v="Mountain Bikes"/>
    <s v="Mountain-200 Silver, 46"/>
    <n v="4"/>
    <n v="1266"/>
    <n v="2320"/>
    <n v="4216"/>
    <n v="5064"/>
    <n v="9280"/>
  </r>
  <r>
    <s v="000261757"/>
    <d v="2021-12-19T00:00:00"/>
    <n v="19"/>
    <s v="December"/>
    <n v="2021"/>
    <n v="19"/>
    <x v="2"/>
    <x v="0"/>
    <x v="2"/>
    <s v="Victoria"/>
    <s v="Bikes"/>
    <s v="Mountain Bikes"/>
    <s v="Mountain-500 Black, 44"/>
    <n v="4"/>
    <n v="295"/>
    <n v="540"/>
    <n v="980"/>
    <n v="1180"/>
    <n v="2160"/>
  </r>
  <r>
    <s v="000261758"/>
    <d v="2021-12-19T00:00:00"/>
    <n v="19"/>
    <s v="December"/>
    <n v="2021"/>
    <n v="25"/>
    <x v="1"/>
    <x v="1"/>
    <x v="5"/>
    <s v="Seine (Paris)"/>
    <s v="Bikes"/>
    <s v="Mountain Bikes"/>
    <s v="Mountain-200 Black, 38"/>
    <n v="4"/>
    <n v="1252"/>
    <n v="2295"/>
    <n v="4172"/>
    <n v="5008"/>
    <n v="9180"/>
  </r>
  <r>
    <s v="000261759"/>
    <d v="2021-12-19T00:00:00"/>
    <n v="19"/>
    <s v="December"/>
    <n v="2021"/>
    <n v="35"/>
    <x v="0"/>
    <x v="0"/>
    <x v="0"/>
    <s v="Oregon"/>
    <s v="Bikes"/>
    <s v="Mountain Bikes"/>
    <s v="Mountain-100 Black, 48"/>
    <n v="4"/>
    <n v="1898"/>
    <n v="3375"/>
    <n v="5908"/>
    <n v="7592"/>
    <n v="13500"/>
  </r>
  <r>
    <s v="000261760"/>
    <d v="2021-12-19T00:00:00"/>
    <n v="19"/>
    <s v="December"/>
    <n v="2021"/>
    <n v="37"/>
    <x v="0"/>
    <x v="1"/>
    <x v="0"/>
    <s v="Oregon"/>
    <s v="Bikes"/>
    <s v="Mountain Bikes"/>
    <s v="Mountain-200 Black, 38"/>
    <n v="4"/>
    <n v="1252"/>
    <n v="2295"/>
    <n v="4172"/>
    <n v="5008"/>
    <n v="9180"/>
  </r>
  <r>
    <s v="000261761"/>
    <d v="2021-12-19T00:00:00"/>
    <n v="19"/>
    <s v="December"/>
    <n v="2021"/>
    <n v="39"/>
    <x v="0"/>
    <x v="0"/>
    <x v="0"/>
    <s v="California"/>
    <s v="Bikes"/>
    <s v="Mountain Bikes"/>
    <s v="Mountain-200 Black, 46"/>
    <n v="4"/>
    <n v="1252"/>
    <n v="2295"/>
    <n v="4172"/>
    <n v="5008"/>
    <n v="9180"/>
  </r>
  <r>
    <s v="000261762"/>
    <d v="2021-12-19T00:00:00"/>
    <n v="19"/>
    <s v="December"/>
    <n v="2021"/>
    <n v="63"/>
    <x v="0"/>
    <x v="0"/>
    <x v="2"/>
    <s v="Queensland"/>
    <s v="Bikes"/>
    <s v="Mountain Bikes"/>
    <s v="Mountain-200 Black, 46"/>
    <n v="4"/>
    <n v="1252"/>
    <n v="2295"/>
    <n v="4172"/>
    <n v="5008"/>
    <n v="9180"/>
  </r>
  <r>
    <s v="000261763"/>
    <d v="2021-12-19T00:00:00"/>
    <n v="19"/>
    <s v="December"/>
    <n v="2021"/>
    <n v="18"/>
    <x v="2"/>
    <x v="1"/>
    <x v="2"/>
    <s v="South Australia"/>
    <s v="Bikes"/>
    <s v="Mountain Bikes"/>
    <s v="Mountain-500 Black, 40"/>
    <n v="2"/>
    <n v="295"/>
    <n v="540"/>
    <n v="490"/>
    <n v="590"/>
    <n v="1080"/>
  </r>
  <r>
    <s v="000261764"/>
    <d v="2021-12-19T00:00:00"/>
    <n v="19"/>
    <s v="December"/>
    <n v="2021"/>
    <n v="56"/>
    <x v="0"/>
    <x v="0"/>
    <x v="3"/>
    <s v="Hessen"/>
    <s v="Bikes"/>
    <s v="Mountain Bikes"/>
    <s v="Mountain-200 Black, 46"/>
    <n v="2"/>
    <n v="1252"/>
    <n v="2295"/>
    <n v="2086"/>
    <n v="2504"/>
    <n v="4590"/>
  </r>
  <r>
    <s v="000261765"/>
    <d v="2021-12-19T00:00:00"/>
    <n v="19"/>
    <s v="December"/>
    <n v="2021"/>
    <n v="39"/>
    <x v="0"/>
    <x v="0"/>
    <x v="0"/>
    <s v="Washington"/>
    <s v="Bikes"/>
    <s v="Mountain Bikes"/>
    <s v="Mountain-200 Silver, 38"/>
    <n v="1"/>
    <n v="1266"/>
    <n v="2320"/>
    <n v="1054"/>
    <n v="1266"/>
    <n v="2320"/>
  </r>
  <r>
    <s v="000261766"/>
    <d v="2021-12-20T00:00:00"/>
    <n v="20"/>
    <s v="December"/>
    <n v="2021"/>
    <n v="33"/>
    <x v="1"/>
    <x v="0"/>
    <x v="2"/>
    <s v="Victoria"/>
    <s v="Bikes"/>
    <s v="Mountain Bikes"/>
    <s v="Mountain-100 Black, 38"/>
    <n v="4"/>
    <n v="1898"/>
    <n v="3375"/>
    <n v="5908"/>
    <n v="7592"/>
    <n v="13500"/>
  </r>
  <r>
    <s v="000261767"/>
    <d v="2021-12-20T00:00:00"/>
    <n v="20"/>
    <s v="December"/>
    <n v="2021"/>
    <n v="57"/>
    <x v="0"/>
    <x v="1"/>
    <x v="2"/>
    <s v="Queensland"/>
    <s v="Bikes"/>
    <s v="Mountain Bikes"/>
    <s v="Mountain-200 Black, 46"/>
    <n v="4"/>
    <n v="1252"/>
    <n v="2295"/>
    <n v="4172"/>
    <n v="5008"/>
    <n v="9180"/>
  </r>
  <r>
    <s v="000261768"/>
    <d v="2021-12-20T00:00:00"/>
    <n v="20"/>
    <s v="December"/>
    <n v="2021"/>
    <n v="29"/>
    <x v="1"/>
    <x v="1"/>
    <x v="4"/>
    <s v="British Columbia"/>
    <s v="Bikes"/>
    <s v="Mountain Bikes"/>
    <s v="Mountain-500 Black, 52"/>
    <n v="3"/>
    <n v="295"/>
    <n v="540"/>
    <n v="735"/>
    <n v="885"/>
    <n v="1620"/>
  </r>
  <r>
    <s v="000261769"/>
    <d v="2021-12-20T00:00:00"/>
    <n v="20"/>
    <s v="December"/>
    <n v="2021"/>
    <n v="35"/>
    <x v="0"/>
    <x v="0"/>
    <x v="2"/>
    <s v="Queensland"/>
    <s v="Bikes"/>
    <s v="Mountain Bikes"/>
    <s v="Mountain-200 Silver, 38"/>
    <n v="1"/>
    <n v="1266"/>
    <n v="2320"/>
    <n v="1054"/>
    <n v="1266"/>
    <n v="2320"/>
  </r>
  <r>
    <s v="000261770"/>
    <d v="2021-12-20T00:00:00"/>
    <n v="20"/>
    <s v="December"/>
    <n v="2021"/>
    <n v="35"/>
    <x v="0"/>
    <x v="1"/>
    <x v="2"/>
    <s v="Victoria"/>
    <s v="Bikes"/>
    <s v="Mountain Bikes"/>
    <s v="Mountain-200 Silver, 38"/>
    <n v="1"/>
    <n v="1266"/>
    <n v="2320"/>
    <n v="1054"/>
    <n v="1266"/>
    <n v="2320"/>
  </r>
  <r>
    <s v="000261771"/>
    <d v="2021-12-21T00:00:00"/>
    <n v="21"/>
    <s v="December"/>
    <n v="2021"/>
    <n v="26"/>
    <x v="1"/>
    <x v="1"/>
    <x v="5"/>
    <s v="Somme"/>
    <s v="Bikes"/>
    <s v="Mountain Bikes"/>
    <s v="Mountain-200 Silver, 38"/>
    <n v="3"/>
    <n v="1266"/>
    <n v="2320"/>
    <n v="3162"/>
    <n v="3798"/>
    <n v="6960"/>
  </r>
  <r>
    <s v="000261772"/>
    <d v="2021-12-21T00:00:00"/>
    <n v="21"/>
    <s v="December"/>
    <n v="2021"/>
    <n v="23"/>
    <x v="2"/>
    <x v="1"/>
    <x v="1"/>
    <s v="England"/>
    <s v="Bikes"/>
    <s v="Mountain Bikes"/>
    <s v="Mountain-400-W Silver, 46"/>
    <n v="2"/>
    <n v="420"/>
    <n v="769"/>
    <n v="698"/>
    <n v="840"/>
    <n v="1538"/>
  </r>
  <r>
    <s v="000261773"/>
    <d v="2021-12-22T00:00:00"/>
    <n v="22"/>
    <s v="December"/>
    <n v="2021"/>
    <n v="30"/>
    <x v="1"/>
    <x v="0"/>
    <x v="0"/>
    <s v="Washington"/>
    <s v="Bikes"/>
    <s v="Mountain Bikes"/>
    <s v="Mountain-200 Silver, 38"/>
    <n v="3"/>
    <n v="1266"/>
    <n v="2320"/>
    <n v="3162"/>
    <n v="3798"/>
    <n v="6960"/>
  </r>
  <r>
    <s v="000261774"/>
    <d v="2021-12-22T00:00:00"/>
    <n v="22"/>
    <s v="December"/>
    <n v="2021"/>
    <n v="41"/>
    <x v="0"/>
    <x v="1"/>
    <x v="0"/>
    <s v="California"/>
    <s v="Bikes"/>
    <s v="Mountain Bikes"/>
    <s v="Mountain-200 Black, 42"/>
    <n v="3"/>
    <n v="1252"/>
    <n v="2295"/>
    <n v="3129"/>
    <n v="3756"/>
    <n v="6885"/>
  </r>
  <r>
    <s v="000261775"/>
    <d v="2021-12-22T00:00:00"/>
    <n v="22"/>
    <s v="December"/>
    <n v="2021"/>
    <n v="19"/>
    <x v="2"/>
    <x v="0"/>
    <x v="2"/>
    <s v="New South Wales"/>
    <s v="Bikes"/>
    <s v="Mountain Bikes"/>
    <s v="Mountain-500 Silver, 42"/>
    <n v="1"/>
    <n v="308"/>
    <n v="565"/>
    <n v="257"/>
    <n v="308"/>
    <n v="565"/>
  </r>
  <r>
    <s v="000261776"/>
    <d v="2021-12-22T00:00:00"/>
    <n v="22"/>
    <s v="December"/>
    <n v="2021"/>
    <n v="25"/>
    <x v="1"/>
    <x v="1"/>
    <x v="5"/>
    <s v="Seine (Paris)"/>
    <s v="Bikes"/>
    <s v="Mountain Bikes"/>
    <s v="Mountain-200 Black, 38"/>
    <n v="1"/>
    <n v="1252"/>
    <n v="2295"/>
    <n v="1043"/>
    <n v="1252"/>
    <n v="2295"/>
  </r>
  <r>
    <s v="000261777"/>
    <d v="2021-12-22T00:00:00"/>
    <n v="22"/>
    <s v="December"/>
    <n v="2021"/>
    <n v="27"/>
    <x v="1"/>
    <x v="0"/>
    <x v="4"/>
    <s v="British Columbia"/>
    <s v="Bikes"/>
    <s v="Mountain Bikes"/>
    <s v="Mountain-200 Black, 46"/>
    <n v="1"/>
    <n v="1252"/>
    <n v="2295"/>
    <n v="1043"/>
    <n v="1252"/>
    <n v="2295"/>
  </r>
  <r>
    <s v="000261778"/>
    <d v="2021-12-22T00:00:00"/>
    <n v="22"/>
    <s v="December"/>
    <n v="2021"/>
    <n v="41"/>
    <x v="0"/>
    <x v="1"/>
    <x v="3"/>
    <s v="Hessen"/>
    <s v="Bikes"/>
    <s v="Mountain Bikes"/>
    <s v="Mountain-200 Silver, 38"/>
    <n v="1"/>
    <n v="1266"/>
    <n v="2320"/>
    <n v="1054"/>
    <n v="1266"/>
    <n v="2320"/>
  </r>
  <r>
    <s v="000261779"/>
    <d v="2021-12-23T00:00:00"/>
    <n v="23"/>
    <s v="December"/>
    <n v="2021"/>
    <n v="30"/>
    <x v="1"/>
    <x v="0"/>
    <x v="0"/>
    <s v="Oregon"/>
    <s v="Bikes"/>
    <s v="Mountain Bikes"/>
    <s v="Mountain-200 Silver, 42"/>
    <n v="1"/>
    <n v="1266"/>
    <n v="2320"/>
    <n v="1054"/>
    <n v="1266"/>
    <n v="2320"/>
  </r>
  <r>
    <s v="000261780"/>
    <d v="2021-12-23T00:00:00"/>
    <n v="23"/>
    <s v="December"/>
    <n v="2021"/>
    <n v="31"/>
    <x v="1"/>
    <x v="0"/>
    <x v="4"/>
    <s v="British Columbia"/>
    <s v="Bikes"/>
    <s v="Mountain Bikes"/>
    <s v="Mountain-200 Black, 42"/>
    <n v="1"/>
    <n v="1252"/>
    <n v="2295"/>
    <n v="1043"/>
    <n v="1252"/>
    <n v="2295"/>
  </r>
  <r>
    <s v="000261781"/>
    <d v="2021-12-23T00:00:00"/>
    <n v="23"/>
    <s v="December"/>
    <n v="2021"/>
    <n v="35"/>
    <x v="0"/>
    <x v="0"/>
    <x v="0"/>
    <s v="California"/>
    <s v="Bikes"/>
    <s v="Mountain Bikes"/>
    <s v="Mountain-500 Black, 42"/>
    <n v="1"/>
    <n v="295"/>
    <n v="540"/>
    <n v="245"/>
    <n v="295"/>
    <n v="540"/>
  </r>
  <r>
    <s v="000261782"/>
    <d v="2021-12-24T00:00:00"/>
    <n v="24"/>
    <s v="December"/>
    <n v="2021"/>
    <n v="38"/>
    <x v="0"/>
    <x v="1"/>
    <x v="2"/>
    <s v="Queensland"/>
    <s v="Bikes"/>
    <s v="Mountain Bikes"/>
    <s v="Mountain-200 Black, 42"/>
    <n v="4"/>
    <n v="1252"/>
    <n v="2295"/>
    <n v="4172"/>
    <n v="5008"/>
    <n v="91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1859A1-76AB-4DFF-ACC2-C422238BBB69}" name="Age_Group_Summary"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3">
  <location ref="F7:I11" firstHeaderRow="0" firstDataRow="1" firstDataCol="1"/>
  <pivotFields count="19">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items count="6">
        <item x="2"/>
        <item x="4"/>
        <item x="5"/>
        <item x="3"/>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s>
  <rowFields count="1">
    <field x="6"/>
  </rowFields>
  <rowItems count="4">
    <i>
      <x/>
    </i>
    <i>
      <x v="1"/>
    </i>
    <i>
      <x v="2"/>
    </i>
    <i t="grand">
      <x/>
    </i>
  </rowItems>
  <colFields count="1">
    <field x="-2"/>
  </colFields>
  <colItems count="3">
    <i>
      <x/>
    </i>
    <i i="1">
      <x v="1"/>
    </i>
    <i i="2">
      <x v="2"/>
    </i>
  </colItems>
  <dataFields count="3">
    <dataField name="Revenue" fld="18" baseField="0" baseItem="0" numFmtId="165"/>
    <dataField name="Profit" fld="16" baseField="0" baseItem="0" numFmtId="165"/>
    <dataField name="Units Sold" fld="13" baseField="0" baseItem="0" numFmtId="3"/>
  </dataFields>
  <formats count="2">
    <format dxfId="1">
      <pivotArea outline="0" fieldPosition="0">
        <references count="1">
          <reference field="4294967294" count="2" selected="0">
            <x v="0"/>
            <x v="1"/>
          </reference>
        </references>
      </pivotArea>
    </format>
    <format dxfId="0">
      <pivotArea outline="0" fieldPosition="0">
        <references count="1">
          <reference field="4294967294" count="1" selected="0">
            <x v="2"/>
          </reference>
        </references>
      </pivotArea>
    </format>
  </formats>
  <chartFormats count="12">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6" count="1" selected="0">
            <x v="0"/>
          </reference>
        </references>
      </pivotArea>
    </chartFormat>
    <chartFormat chart="2" format="5">
      <pivotArea type="data" outline="0" fieldPosition="0">
        <references count="2">
          <reference field="4294967294" count="1" selected="0">
            <x v="0"/>
          </reference>
          <reference field="6" count="1" selected="0">
            <x v="1"/>
          </reference>
        </references>
      </pivotArea>
    </chartFormat>
    <chartFormat chart="2" format="6">
      <pivotArea type="data" outline="0" fieldPosition="0">
        <references count="2">
          <reference field="4294967294" count="1" selected="0">
            <x v="0"/>
          </reference>
          <reference field="6" count="1" selected="0">
            <x v="2"/>
          </reference>
        </references>
      </pivotArea>
    </chartFormat>
    <chartFormat chart="2" format="7" series="1">
      <pivotArea type="data" outline="0" fieldPosition="0">
        <references count="1">
          <reference field="4294967294" count="1" selected="0">
            <x v="1"/>
          </reference>
        </references>
      </pivotArea>
    </chartFormat>
    <chartFormat chart="2" format="8">
      <pivotArea type="data" outline="0" fieldPosition="0">
        <references count="2">
          <reference field="4294967294" count="1" selected="0">
            <x v="1"/>
          </reference>
          <reference field="6" count="1" selected="0">
            <x v="0"/>
          </reference>
        </references>
      </pivotArea>
    </chartFormat>
    <chartFormat chart="2" format="9">
      <pivotArea type="data" outline="0" fieldPosition="0">
        <references count="2">
          <reference field="4294967294" count="1" selected="0">
            <x v="1"/>
          </reference>
          <reference field="6" count="1" selected="0">
            <x v="1"/>
          </reference>
        </references>
      </pivotArea>
    </chartFormat>
    <chartFormat chart="2" format="10">
      <pivotArea type="data" outline="0" fieldPosition="0">
        <references count="2">
          <reference field="4294967294" count="1" selected="0">
            <x v="1"/>
          </reference>
          <reference field="6" count="1" selected="0">
            <x v="2"/>
          </reference>
        </references>
      </pivotArea>
    </chartFormat>
    <chartFormat chart="2" format="11" series="1">
      <pivotArea type="data" outline="0" fieldPosition="0">
        <references count="1">
          <reference field="4294967294" count="1" selected="0">
            <x v="2"/>
          </reference>
        </references>
      </pivotArea>
    </chartFormat>
    <chartFormat chart="2" format="12">
      <pivotArea type="data" outline="0" fieldPosition="0">
        <references count="2">
          <reference field="4294967294" count="1" selected="0">
            <x v="2"/>
          </reference>
          <reference field="6" count="1" selected="0">
            <x v="0"/>
          </reference>
        </references>
      </pivotArea>
    </chartFormat>
    <chartFormat chart="2" format="13">
      <pivotArea type="data" outline="0" fieldPosition="0">
        <references count="2">
          <reference field="4294967294" count="1" selected="0">
            <x v="2"/>
          </reference>
          <reference field="6" count="1" selected="0">
            <x v="1"/>
          </reference>
        </references>
      </pivotArea>
    </chartFormat>
    <chartFormat chart="2" format="14">
      <pivotArea type="data" outline="0" fieldPosition="0">
        <references count="2">
          <reference field="4294967294" count="1" selected="0">
            <x v="2"/>
          </reference>
          <reference field="6"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0760AE-DDC7-420C-9FF0-065E54AA3B52}" name="Country_Summary"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4">
  <location ref="A7:D14" firstHeaderRow="0" firstDataRow="1" firstDataCol="1"/>
  <pivotFields count="19">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axis="axisRow" compact="0" outline="0" showAll="0" defaultSubtotal="0">
      <items count="6">
        <item x="2"/>
        <item x="4"/>
        <item x="5"/>
        <item x="3"/>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s>
  <rowFields count="1">
    <field x="8"/>
  </rowFields>
  <rowItems count="7">
    <i>
      <x/>
    </i>
    <i>
      <x v="1"/>
    </i>
    <i>
      <x v="2"/>
    </i>
    <i>
      <x v="3"/>
    </i>
    <i>
      <x v="4"/>
    </i>
    <i>
      <x v="5"/>
    </i>
    <i t="grand">
      <x/>
    </i>
  </rowItems>
  <colFields count="1">
    <field x="-2"/>
  </colFields>
  <colItems count="3">
    <i>
      <x/>
    </i>
    <i i="1">
      <x v="1"/>
    </i>
    <i i="2">
      <x v="2"/>
    </i>
  </colItems>
  <dataFields count="3">
    <dataField name="Revenue" fld="18" baseField="0" baseItem="0" numFmtId="165"/>
    <dataField name="Profit" fld="16" baseField="0" baseItem="0" numFmtId="165"/>
    <dataField name="Units Sold" fld="13" baseField="0" baseItem="0" numFmtId="3"/>
  </dataFields>
  <formats count="2">
    <format dxfId="3">
      <pivotArea outline="0" fieldPosition="0">
        <references count="1">
          <reference field="4294967294" count="2" selected="0">
            <x v="0"/>
            <x v="1"/>
          </reference>
        </references>
      </pivotArea>
    </format>
    <format dxfId="2">
      <pivotArea outline="0" fieldPosition="0">
        <references count="1">
          <reference field="4294967294" count="1" selected="0">
            <x v="2"/>
          </reference>
        </references>
      </pivotArea>
    </format>
  </formats>
  <chartFormats count="3">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21ED10-8A1C-4C03-B7E5-31C77AA2D5E4}" name="Gender_Summary"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2">
  <location ref="K7:N10" firstHeaderRow="0" firstDataRow="1" firstDataCol="1"/>
  <pivotFields count="19">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items count="6">
        <item x="2"/>
        <item x="4"/>
        <item x="5"/>
        <item x="3"/>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s>
  <rowFields count="1">
    <field x="7"/>
  </rowFields>
  <rowItems count="3">
    <i>
      <x/>
    </i>
    <i>
      <x v="1"/>
    </i>
    <i t="grand">
      <x/>
    </i>
  </rowItems>
  <colFields count="1">
    <field x="-2"/>
  </colFields>
  <colItems count="3">
    <i>
      <x/>
    </i>
    <i i="1">
      <x v="1"/>
    </i>
    <i i="2">
      <x v="2"/>
    </i>
  </colItems>
  <dataFields count="3">
    <dataField name="Revenue" fld="18" baseField="0" baseItem="0" numFmtId="165"/>
    <dataField name="Profit" fld="16" baseField="0" baseItem="0" numFmtId="165"/>
    <dataField name="Units Sold" fld="13" baseField="0" baseItem="0" numFmtId="3"/>
  </dataFields>
  <formats count="2">
    <format dxfId="5">
      <pivotArea outline="0" fieldPosition="0">
        <references count="1">
          <reference field="4294967294" count="2" selected="0">
            <x v="0"/>
            <x v="1"/>
          </reference>
        </references>
      </pivotArea>
    </format>
    <format dxfId="4">
      <pivotArea outline="0" fieldPosition="0">
        <references count="1">
          <reference field="4294967294" count="1" selected="0">
            <x v="2"/>
          </reference>
        </references>
      </pivotArea>
    </format>
  </formats>
  <chartFormats count="3">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4479748-6B6D-4F9F-84F3-82B07E2D72AE}" autoFormatId="16" applyNumberFormats="0" applyBorderFormats="0" applyFontFormats="0" applyPatternFormats="0" applyAlignmentFormats="0" applyWidthHeightFormats="0">
  <queryTableRefresh nextId="21">
    <queryTableFields count="19">
      <queryTableField id="1" name="Sales_Order #" tableColumnId="1"/>
      <queryTableField id="2" name="Date.1" tableColumnId="2"/>
      <queryTableField id="4" name="Day" tableColumnId="4"/>
      <queryTableField id="5" name="Month" tableColumnId="5"/>
      <queryTableField id="6" name="Year" tableColumnId="6"/>
      <queryTableField id="7" name="Customer_Age" tableColumnId="7"/>
      <queryTableField id="8" name="Age_Group" tableColumnId="8"/>
      <queryTableField id="9" name="Customer_Gender" tableColumnId="9"/>
      <queryTableField id="10" name="Country" tableColumnId="10"/>
      <queryTableField id="11" name="State" tableColumnId="11"/>
      <queryTableField id="12" name="Product_Category" tableColumnId="12"/>
      <queryTableField id="13" name="Sub_Category" tableColumnId="13"/>
      <queryTableField id="14" name="Product_Description" tableColumnId="14"/>
      <queryTableField id="15" name="Order_Quantity" tableColumnId="15"/>
      <queryTableField id="16" name=" Unit_Cost " tableColumnId="16"/>
      <queryTableField id="17" name=" Unit_Price " tableColumnId="17"/>
      <queryTableField id="18" name=" Profit " tableColumnId="18"/>
      <queryTableField id="19" name=" Cost " tableColumnId="19"/>
      <queryTableField id="20" name="Revenue" tableColumnId="20"/>
    </queryTableFields>
    <queryTableDeletedFields count="1">
      <deletedField name="Tim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317F003-5744-4A31-A7E9-65EC35D7C52C}" sourceName="Country">
  <pivotTables>
    <pivotTable tabId="3" name="Country_Summary"/>
    <pivotTable tabId="3" name="Age_Group_Summary"/>
    <pivotTable tabId="3" name="Gender_Summary"/>
  </pivotTables>
  <data>
    <tabular pivotCacheId="1080373079">
      <items count="6">
        <i x="2" s="1"/>
        <i x="4" s="1"/>
        <i x="5"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3F467C6-8069-424F-99D6-6AE164F7320B}" sourceName="Age_Group">
  <pivotTables>
    <pivotTable tabId="3" name="Age_Group_Summary"/>
    <pivotTable tabId="3" name="Country_Summary"/>
    <pivotTable tabId="3" name="Gender_Summary"/>
  </pivotTables>
  <data>
    <tabular pivotCacheId="108037307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Gender" xr10:uid="{4A4BAF8D-DEF7-4A67-9FB8-71FBC6FF020D}" sourceName="Customer_Gender">
  <pivotTables>
    <pivotTable tabId="3" name="Gender_Summary"/>
    <pivotTable tabId="3" name="Age_Group_Summary"/>
    <pivotTable tabId="3" name="Country_Summary"/>
  </pivotTables>
  <data>
    <tabular pivotCacheId="108037307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3ECD39E9-7CFA-409B-9946-AB0241BED1DB}" cache="Slicer_Country" caption="Country" rowHeight="234950"/>
  <slicer name="Age_Group" xr10:uid="{456FBB83-9736-415E-A7DD-6BD190B7A972}" cache="Slicer_Age_Group" caption="Age_Group" rowHeight="234950"/>
  <slicer name="Customer_Gender" xr10:uid="{E5C3EB2B-CD70-4945-88A7-11DBCF0DF30D}" cache="Slicer_Customer_Gender" caption="Customer_Gender"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9A4B36-76C9-456D-ADFB-E3D55981E5A4}" name="Table1" displayName="Table1" ref="A1:S90" totalsRowShown="0" headerRowDxfId="35">
  <autoFilter ref="A1:S90" xr:uid="{659A4B36-76C9-456D-ADFB-E3D55981E5A4}"/>
  <tableColumns count="19">
    <tableColumn id="1" xr3:uid="{4697D122-94E5-4FD9-8DFD-47BB8F78F72F}" name="Sales_Order #" dataDxfId="34"/>
    <tableColumn id="2" xr3:uid="{F40999FE-5AB6-4FD5-9185-CE189A130376}" name="Date" dataDxfId="33"/>
    <tableColumn id="3" xr3:uid="{A0245B62-30A3-41B9-BA56-DC03D3741CD7}" name="Day"/>
    <tableColumn id="4" xr3:uid="{34E3A8FC-8FF1-4D0E-9685-8165331165A1}" name="Month"/>
    <tableColumn id="5" xr3:uid="{F1C73A19-EFE3-4F34-BA90-7C51E7BEEFE6}" name="Year"/>
    <tableColumn id="6" xr3:uid="{07CE3E6B-5BF1-4586-AD33-21CEE4D5A10F}" name="Customer_Age"/>
    <tableColumn id="7" xr3:uid="{15DBECF7-66A5-42CF-9CCD-6347086ED94C}" name="Age_Group" dataDxfId="32"/>
    <tableColumn id="8" xr3:uid="{3B6B1A39-4DC3-4673-B282-0370AD09259F}" name="Customer_Gender"/>
    <tableColumn id="9" xr3:uid="{CB9A67A8-568F-4720-8CAB-5FC02DFDADBF}" name="Country"/>
    <tableColumn id="10" xr3:uid="{623BFD99-574A-4492-9F46-1AFD4FF4B0CD}" name="State"/>
    <tableColumn id="11" xr3:uid="{3B96FC46-6CCB-4937-8786-3463FACA61C2}" name="Product_Category"/>
    <tableColumn id="12" xr3:uid="{BF2544B5-A061-4D26-B523-9C07FE415E3C}" name="Sub_Category"/>
    <tableColumn id="13" xr3:uid="{8E605B0D-C9CE-4704-82A7-8BC08805995E}" name="Product_Description" dataDxfId="31"/>
    <tableColumn id="14" xr3:uid="{27222A28-85C4-4D5A-8A95-5E4582587AEA}" name="Order_Quantity"/>
    <tableColumn id="15" xr3:uid="{6F603F3E-99D3-4FDF-85AD-6C77E0C8D338}" name=" Unit_Cost " dataDxfId="30"/>
    <tableColumn id="16" xr3:uid="{3288671F-0FDC-4024-9CF0-E0B4503FBEED}" name=" Unit_Price " dataDxfId="29"/>
    <tableColumn id="17" xr3:uid="{C5F3B910-E682-47A3-8599-84159DA9A298}" name=" Profit " dataDxfId="28"/>
    <tableColumn id="18" xr3:uid="{5BCFF861-E4A4-4321-9EFC-3B0D46FEF572}" name=" Cost " dataDxfId="27">
      <calculatedColumnFormula>N2*O2</calculatedColumnFormula>
    </tableColumn>
    <tableColumn id="19" xr3:uid="{11680883-72AE-426D-91B6-59265893D68B}" name="Revenue" dataDxfId="26">
      <calculatedColumnFormula>N2*P2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259815-55BE-421D-9EF3-F8F8CF3D6C7A}" name="Table1_1" displayName="Table1_1" ref="A1:S90" tableType="queryTable" totalsRowShown="0" dataDxfId="25">
  <autoFilter ref="A1:S90" xr:uid="{6E259815-55BE-421D-9EF3-F8F8CF3D6C7A}"/>
  <tableColumns count="19">
    <tableColumn id="1" xr3:uid="{A59A41F8-D82C-48A6-B2D6-10C581F5DCCB}" uniqueName="1" name="Sales_Order #" queryTableFieldId="1" dataDxfId="24"/>
    <tableColumn id="2" xr3:uid="{5E848AAA-6B63-477E-BDBE-174066D5CF6E}" uniqueName="2" name="Date" queryTableFieldId="2" dataDxfId="23"/>
    <tableColumn id="4" xr3:uid="{43BC5CDE-9FD4-4DC9-A1BB-83D871601170}" uniqueName="4" name="Day" queryTableFieldId="4" dataDxfId="22"/>
    <tableColumn id="5" xr3:uid="{4467A332-C75D-4B22-91DC-FE05CB7C9DAB}" uniqueName="5" name="Month" queryTableFieldId="5" dataDxfId="21"/>
    <tableColumn id="6" xr3:uid="{9F9EAE66-5F7D-4785-93BE-AB4FB3D01639}" uniqueName="6" name="Year" queryTableFieldId="6" dataDxfId="20"/>
    <tableColumn id="7" xr3:uid="{2027E970-E0B6-419B-812C-C63CFCF57E21}" uniqueName="7" name="Customer_Age" queryTableFieldId="7" dataDxfId="19"/>
    <tableColumn id="8" xr3:uid="{0932F157-F455-4CA1-8CD5-368DA5BFE15A}" uniqueName="8" name="Age_Group" queryTableFieldId="8" dataDxfId="18"/>
    <tableColumn id="9" xr3:uid="{37E8BA1D-5B4A-4333-87F0-79087D5DA999}" uniqueName="9" name="Customer_Gender" queryTableFieldId="9" dataDxfId="17"/>
    <tableColumn id="10" xr3:uid="{26ED5546-5BB0-4F12-8495-9524D827742C}" uniqueName="10" name="Country" queryTableFieldId="10" dataDxfId="16"/>
    <tableColumn id="11" xr3:uid="{259E4DB3-2856-4352-A44E-766D7606E54B}" uniqueName="11" name="State" queryTableFieldId="11" dataDxfId="15"/>
    <tableColumn id="12" xr3:uid="{3CBA934E-EBCA-403E-B477-DCBA50A33688}" uniqueName="12" name="Product_Category" queryTableFieldId="12" dataDxfId="14"/>
    <tableColumn id="13" xr3:uid="{DC5D564A-A924-4E25-BAA3-C645BAE62EB6}" uniqueName="13" name="Sub_Category" queryTableFieldId="13" dataDxfId="13"/>
    <tableColumn id="14" xr3:uid="{0AA05E3B-36CA-4A9A-A625-70BDFD25A1E9}" uniqueName="14" name="Product_Description" queryTableFieldId="14" dataDxfId="12"/>
    <tableColumn id="15" xr3:uid="{5CC636C8-6A29-4DC4-B6C0-8E7C90A30485}" uniqueName="15" name="Order_Quantity" queryTableFieldId="15" dataDxfId="11"/>
    <tableColumn id="16" xr3:uid="{7BA6AF69-76B1-4923-9D81-9FF76198400C}" uniqueName="16" name="Unit_Cost" queryTableFieldId="16" dataDxfId="10"/>
    <tableColumn id="17" xr3:uid="{36F2B464-8A64-420C-AE86-CC8CC43854CB}" uniqueName="17" name="Unit_Price" queryTableFieldId="17" dataDxfId="9"/>
    <tableColumn id="18" xr3:uid="{04226CD9-D18B-4E3A-A0A3-C6A9A78947E0}" uniqueName="18" name="Profit" queryTableFieldId="18" dataDxfId="8"/>
    <tableColumn id="19" xr3:uid="{0FBF9662-0079-4D7A-92BB-1DB0E7E3BC83}" uniqueName="19" name="Cost" queryTableFieldId="19" dataDxfId="7"/>
    <tableColumn id="20" xr3:uid="{5F3055C2-6337-431A-A4C7-EFEB877F17FE}" uniqueName="20" name="Revenue" queryTableFieldId="20" dataDxfId="6"/>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0"/>
  <sheetViews>
    <sheetView topLeftCell="A23" zoomScale="172" zoomScaleNormal="172" workbookViewId="0">
      <selection activeCell="C30" sqref="C30"/>
    </sheetView>
  </sheetViews>
  <sheetFormatPr defaultRowHeight="14.4" x14ac:dyDescent="0.3"/>
  <cols>
    <col min="1" max="1" width="14.33203125" customWidth="1"/>
    <col min="2" max="2" width="10.6640625" bestFit="1" customWidth="1"/>
    <col min="4" max="4" width="10.109375" bestFit="1" customWidth="1"/>
    <col min="6" max="6" width="15.21875" customWidth="1"/>
    <col min="7" max="7" width="19.6640625" style="8" bestFit="1" customWidth="1"/>
    <col min="8" max="8" width="18.109375" customWidth="1"/>
    <col min="9" max="9" width="15.44140625" bestFit="1" customWidth="1"/>
    <col min="10" max="10" width="19.88671875" bestFit="1" customWidth="1"/>
    <col min="11" max="11" width="18.109375" customWidth="1"/>
    <col min="12" max="12" width="14.88671875" bestFit="1" customWidth="1"/>
    <col min="13" max="13" width="25" bestFit="1" customWidth="1"/>
    <col min="14" max="14" width="16" customWidth="1"/>
    <col min="15" max="15" width="12" customWidth="1"/>
    <col min="16" max="16" width="12.44140625" customWidth="1"/>
    <col min="17" max="18" width="9.88671875" bestFit="1" customWidth="1"/>
    <col min="19" max="19" width="10.88671875" bestFit="1" customWidth="1"/>
  </cols>
  <sheetData>
    <row r="1" spans="1:19" s="4" customFormat="1" x14ac:dyDescent="0.3">
      <c r="A1" s="4" t="s">
        <v>0</v>
      </c>
      <c r="B1" s="4" t="s">
        <v>1</v>
      </c>
      <c r="C1" s="4" t="s">
        <v>2</v>
      </c>
      <c r="D1" s="4" t="s">
        <v>3</v>
      </c>
      <c r="E1" s="4" t="s">
        <v>4</v>
      </c>
      <c r="F1" s="4" t="s">
        <v>5</v>
      </c>
      <c r="G1" s="7" t="s">
        <v>6</v>
      </c>
      <c r="H1" s="4" t="s">
        <v>7</v>
      </c>
      <c r="I1" s="4" t="s">
        <v>8</v>
      </c>
      <c r="J1" s="4" t="s">
        <v>9</v>
      </c>
      <c r="K1" s="4" t="s">
        <v>10</v>
      </c>
      <c r="L1" s="4" t="s">
        <v>11</v>
      </c>
      <c r="M1" s="6" t="s">
        <v>12</v>
      </c>
      <c r="N1" s="4" t="s">
        <v>13</v>
      </c>
      <c r="O1" s="4" t="s">
        <v>14</v>
      </c>
      <c r="P1" s="4" t="s">
        <v>15</v>
      </c>
      <c r="Q1" s="4" t="s">
        <v>16</v>
      </c>
      <c r="R1" s="4" t="s">
        <v>17</v>
      </c>
      <c r="S1" s="4" t="s">
        <v>18</v>
      </c>
    </row>
    <row r="2" spans="1:19" x14ac:dyDescent="0.3">
      <c r="A2" s="3" t="s">
        <v>19</v>
      </c>
      <c r="B2" s="1">
        <v>44531</v>
      </c>
      <c r="C2">
        <v>1</v>
      </c>
      <c r="D2" t="s">
        <v>20</v>
      </c>
      <c r="E2">
        <v>2021</v>
      </c>
      <c r="F2">
        <v>39</v>
      </c>
      <c r="G2" s="8" t="s">
        <v>21</v>
      </c>
      <c r="H2" t="s">
        <v>22</v>
      </c>
      <c r="I2" t="s">
        <v>23</v>
      </c>
      <c r="J2" t="s">
        <v>24</v>
      </c>
      <c r="K2" t="s">
        <v>25</v>
      </c>
      <c r="L2" t="s">
        <v>26</v>
      </c>
      <c r="M2" s="5" t="s">
        <v>27</v>
      </c>
      <c r="N2">
        <v>4</v>
      </c>
      <c r="O2" s="2">
        <v>1252</v>
      </c>
      <c r="P2" s="2">
        <v>2295</v>
      </c>
      <c r="Q2" s="2">
        <v>4172</v>
      </c>
      <c r="R2" s="2">
        <f>N2*O2</f>
        <v>5008</v>
      </c>
      <c r="S2" s="2">
        <f>N2*P2</f>
        <v>9180</v>
      </c>
    </row>
    <row r="3" spans="1:19" x14ac:dyDescent="0.3">
      <c r="A3" s="3" t="s">
        <v>19</v>
      </c>
      <c r="B3" s="1">
        <v>44531</v>
      </c>
      <c r="C3">
        <v>1</v>
      </c>
      <c r="D3" t="s">
        <v>20</v>
      </c>
      <c r="E3">
        <v>2021</v>
      </c>
      <c r="F3">
        <v>44</v>
      </c>
      <c r="G3" s="8" t="s">
        <v>21</v>
      </c>
      <c r="H3" t="s">
        <v>28</v>
      </c>
      <c r="I3" t="s">
        <v>29</v>
      </c>
      <c r="J3" t="s">
        <v>30</v>
      </c>
      <c r="K3" t="s">
        <v>25</v>
      </c>
      <c r="L3" t="s">
        <v>26</v>
      </c>
      <c r="M3" s="5" t="s">
        <v>31</v>
      </c>
      <c r="N3">
        <v>1</v>
      </c>
      <c r="O3" s="2">
        <v>1266</v>
      </c>
      <c r="P3" s="2">
        <v>2320</v>
      </c>
      <c r="Q3" s="2">
        <v>1054</v>
      </c>
      <c r="R3" s="2">
        <f t="shared" ref="R3:R67" si="0">N3*O3</f>
        <v>1266</v>
      </c>
      <c r="S3" s="2">
        <f t="shared" ref="S3:S67" si="1">N3*P3</f>
        <v>2320</v>
      </c>
    </row>
    <row r="4" spans="1:19" x14ac:dyDescent="0.3">
      <c r="A4" s="3" t="s">
        <v>32</v>
      </c>
      <c r="B4" s="1">
        <v>44532</v>
      </c>
      <c r="C4">
        <v>2</v>
      </c>
      <c r="D4" t="s">
        <v>20</v>
      </c>
      <c r="E4">
        <v>2021</v>
      </c>
      <c r="F4">
        <v>37</v>
      </c>
      <c r="G4" s="8" t="s">
        <v>21</v>
      </c>
      <c r="H4" t="s">
        <v>28</v>
      </c>
      <c r="I4" t="s">
        <v>33</v>
      </c>
      <c r="J4" t="s">
        <v>24</v>
      </c>
      <c r="K4" t="s">
        <v>25</v>
      </c>
      <c r="L4" t="s">
        <v>26</v>
      </c>
      <c r="M4" s="5" t="s">
        <v>34</v>
      </c>
      <c r="N4">
        <v>2</v>
      </c>
      <c r="O4" s="2">
        <v>420</v>
      </c>
      <c r="P4" s="2">
        <v>769</v>
      </c>
      <c r="Q4" s="2">
        <v>698</v>
      </c>
      <c r="R4" s="2">
        <f t="shared" si="0"/>
        <v>840</v>
      </c>
      <c r="S4" s="2">
        <f t="shared" si="1"/>
        <v>1538</v>
      </c>
    </row>
    <row r="5" spans="1:19" x14ac:dyDescent="0.3">
      <c r="A5" s="3" t="s">
        <v>35</v>
      </c>
      <c r="B5" s="1">
        <v>44532</v>
      </c>
      <c r="C5">
        <v>2</v>
      </c>
      <c r="D5" t="s">
        <v>20</v>
      </c>
      <c r="E5">
        <v>2021</v>
      </c>
      <c r="F5">
        <v>31</v>
      </c>
      <c r="G5" s="8" t="s">
        <v>36</v>
      </c>
      <c r="H5" t="s">
        <v>22</v>
      </c>
      <c r="I5" t="s">
        <v>37</v>
      </c>
      <c r="J5" t="s">
        <v>38</v>
      </c>
      <c r="K5" t="s">
        <v>25</v>
      </c>
      <c r="L5" t="s">
        <v>26</v>
      </c>
      <c r="M5" s="5" t="s">
        <v>39</v>
      </c>
      <c r="N5">
        <v>1</v>
      </c>
      <c r="O5" s="2">
        <v>420</v>
      </c>
      <c r="P5" s="2">
        <v>769</v>
      </c>
      <c r="Q5" s="2">
        <v>349</v>
      </c>
      <c r="R5" s="2">
        <f t="shared" si="0"/>
        <v>420</v>
      </c>
      <c r="S5" s="2">
        <f t="shared" si="1"/>
        <v>769</v>
      </c>
    </row>
    <row r="6" spans="1:19" x14ac:dyDescent="0.3">
      <c r="A6" s="3" t="s">
        <v>40</v>
      </c>
      <c r="B6" s="1">
        <v>44533</v>
      </c>
      <c r="C6">
        <v>3</v>
      </c>
      <c r="D6" t="s">
        <v>20</v>
      </c>
      <c r="E6">
        <v>2021</v>
      </c>
      <c r="F6">
        <v>37</v>
      </c>
      <c r="G6" s="8" t="s">
        <v>21</v>
      </c>
      <c r="H6" t="s">
        <v>22</v>
      </c>
      <c r="I6" t="s">
        <v>41</v>
      </c>
      <c r="J6" t="s">
        <v>24</v>
      </c>
      <c r="K6" t="s">
        <v>25</v>
      </c>
      <c r="L6" t="s">
        <v>26</v>
      </c>
      <c r="M6" s="5" t="s">
        <v>27</v>
      </c>
      <c r="N6">
        <v>2</v>
      </c>
      <c r="O6" s="2">
        <v>0</v>
      </c>
      <c r="P6" s="2">
        <v>2295</v>
      </c>
      <c r="Q6" s="2">
        <v>2086</v>
      </c>
      <c r="R6" s="2">
        <f t="shared" si="0"/>
        <v>0</v>
      </c>
      <c r="S6" s="2">
        <f t="shared" si="1"/>
        <v>4590</v>
      </c>
    </row>
    <row r="7" spans="1:19" x14ac:dyDescent="0.3">
      <c r="A7" s="3" t="s">
        <v>42</v>
      </c>
      <c r="B7" s="1">
        <v>44533</v>
      </c>
      <c r="C7">
        <v>3</v>
      </c>
      <c r="D7" t="s">
        <v>20</v>
      </c>
      <c r="E7">
        <v>2021</v>
      </c>
      <c r="F7">
        <v>24</v>
      </c>
      <c r="G7" s="8" t="s">
        <v>43</v>
      </c>
      <c r="H7" t="s">
        <v>22</v>
      </c>
      <c r="I7" t="s">
        <v>29</v>
      </c>
      <c r="J7" t="s">
        <v>30</v>
      </c>
      <c r="K7" t="s">
        <v>25</v>
      </c>
      <c r="L7" t="s">
        <v>26</v>
      </c>
      <c r="M7" s="5" t="s">
        <v>44</v>
      </c>
      <c r="N7">
        <v>1</v>
      </c>
      <c r="O7" s="2">
        <v>1252</v>
      </c>
      <c r="P7" s="2">
        <v>2295</v>
      </c>
      <c r="Q7" s="2">
        <v>1043</v>
      </c>
      <c r="R7" s="2">
        <f t="shared" si="0"/>
        <v>1252</v>
      </c>
      <c r="S7" s="2">
        <f t="shared" si="1"/>
        <v>2295</v>
      </c>
    </row>
    <row r="8" spans="1:19" x14ac:dyDescent="0.3">
      <c r="A8" s="3" t="s">
        <v>45</v>
      </c>
      <c r="B8" s="1">
        <v>44533</v>
      </c>
      <c r="C8">
        <v>3</v>
      </c>
      <c r="D8" t="s">
        <v>20</v>
      </c>
      <c r="E8">
        <v>2021</v>
      </c>
      <c r="F8">
        <v>37</v>
      </c>
      <c r="G8" s="8" t="s">
        <v>21</v>
      </c>
      <c r="H8" t="s">
        <v>28</v>
      </c>
      <c r="I8" t="s">
        <v>46</v>
      </c>
      <c r="J8" t="s">
        <v>47</v>
      </c>
      <c r="K8" t="s">
        <v>25</v>
      </c>
      <c r="L8" t="s">
        <v>26</v>
      </c>
      <c r="M8" s="5" t="s">
        <v>27</v>
      </c>
      <c r="N8">
        <v>1</v>
      </c>
      <c r="O8" s="2">
        <v>1252</v>
      </c>
      <c r="P8" s="2">
        <v>2295</v>
      </c>
      <c r="Q8" s="2">
        <v>1043</v>
      </c>
      <c r="R8" s="2">
        <f t="shared" si="0"/>
        <v>1252</v>
      </c>
      <c r="S8" s="2">
        <f t="shared" si="1"/>
        <v>2295</v>
      </c>
    </row>
    <row r="9" spans="1:19" s="9" customFormat="1" x14ac:dyDescent="0.3">
      <c r="A9" s="12" t="s">
        <v>45</v>
      </c>
      <c r="B9" s="13">
        <v>44533</v>
      </c>
      <c r="C9" s="9">
        <v>3</v>
      </c>
      <c r="D9" s="9" t="s">
        <v>20</v>
      </c>
      <c r="E9" s="9">
        <v>2021</v>
      </c>
      <c r="F9" s="9">
        <v>37</v>
      </c>
      <c r="G9" s="14" t="s">
        <v>21</v>
      </c>
      <c r="H9" s="9" t="s">
        <v>28</v>
      </c>
      <c r="I9" s="9" t="s">
        <v>23</v>
      </c>
      <c r="J9" s="9" t="s">
        <v>47</v>
      </c>
      <c r="K9" s="9" t="s">
        <v>25</v>
      </c>
      <c r="L9" s="9" t="s">
        <v>26</v>
      </c>
      <c r="M9" s="10" t="s">
        <v>27</v>
      </c>
      <c r="N9" s="9">
        <v>1</v>
      </c>
      <c r="O9" s="11">
        <v>1252</v>
      </c>
      <c r="P9" s="11">
        <v>2295</v>
      </c>
      <c r="Q9" s="11">
        <v>1043</v>
      </c>
      <c r="R9" s="11">
        <f t="shared" ref="R9" si="2">N9*O9</f>
        <v>1252</v>
      </c>
      <c r="S9" s="11">
        <f t="shared" ref="S9" si="3">N9*P9</f>
        <v>2295</v>
      </c>
    </row>
    <row r="10" spans="1:19" x14ac:dyDescent="0.3">
      <c r="A10" s="3" t="s">
        <v>48</v>
      </c>
      <c r="B10" s="1">
        <v>44534</v>
      </c>
      <c r="C10">
        <v>4</v>
      </c>
      <c r="D10" t="s">
        <v>20</v>
      </c>
      <c r="E10">
        <v>2021</v>
      </c>
      <c r="F10">
        <v>31</v>
      </c>
      <c r="G10" s="8" t="s">
        <v>36</v>
      </c>
      <c r="H10" t="s">
        <v>22</v>
      </c>
      <c r="I10" t="s">
        <v>37</v>
      </c>
      <c r="J10" t="s">
        <v>38</v>
      </c>
      <c r="K10" t="s">
        <v>25</v>
      </c>
      <c r="L10" t="s">
        <v>26</v>
      </c>
      <c r="M10" s="5" t="s">
        <v>39</v>
      </c>
      <c r="N10">
        <v>4</v>
      </c>
      <c r="O10" s="2">
        <v>420</v>
      </c>
      <c r="P10" s="2">
        <v>0</v>
      </c>
      <c r="Q10" s="2">
        <v>1396</v>
      </c>
      <c r="R10" s="2">
        <f t="shared" si="0"/>
        <v>1680</v>
      </c>
      <c r="S10" s="2">
        <f t="shared" si="1"/>
        <v>0</v>
      </c>
    </row>
    <row r="11" spans="1:19" x14ac:dyDescent="0.3">
      <c r="A11" s="3" t="s">
        <v>49</v>
      </c>
      <c r="B11" s="1">
        <v>44535</v>
      </c>
      <c r="C11">
        <v>5</v>
      </c>
      <c r="D11" t="s">
        <v>20</v>
      </c>
      <c r="E11">
        <v>2021</v>
      </c>
      <c r="F11">
        <v>39</v>
      </c>
      <c r="G11" s="8" t="s">
        <v>21</v>
      </c>
      <c r="H11" t="s">
        <v>22</v>
      </c>
      <c r="I11" t="s">
        <v>23</v>
      </c>
      <c r="J11" t="s">
        <v>24</v>
      </c>
      <c r="K11" t="s">
        <v>25</v>
      </c>
      <c r="L11" t="s">
        <v>26</v>
      </c>
      <c r="M11" s="5" t="s">
        <v>27</v>
      </c>
      <c r="N11">
        <v>4</v>
      </c>
      <c r="O11" s="2">
        <v>1252</v>
      </c>
      <c r="P11" s="2">
        <v>2295</v>
      </c>
      <c r="Q11" s="2">
        <v>4172</v>
      </c>
      <c r="R11" s="2">
        <f t="shared" si="0"/>
        <v>5008</v>
      </c>
      <c r="S11" s="2">
        <f t="shared" si="1"/>
        <v>9180</v>
      </c>
    </row>
    <row r="12" spans="1:19" x14ac:dyDescent="0.3">
      <c r="A12" s="3" t="s">
        <v>50</v>
      </c>
      <c r="B12" s="1">
        <v>44535</v>
      </c>
      <c r="D12" t="s">
        <v>20</v>
      </c>
      <c r="E12">
        <v>2021</v>
      </c>
      <c r="F12">
        <v>42</v>
      </c>
      <c r="G12" s="8" t="s">
        <v>21</v>
      </c>
      <c r="H12" t="s">
        <v>28</v>
      </c>
      <c r="I12" t="s">
        <v>51</v>
      </c>
      <c r="J12" t="s">
        <v>52</v>
      </c>
      <c r="K12" t="s">
        <v>25</v>
      </c>
      <c r="L12" t="s">
        <v>26</v>
      </c>
      <c r="M12" s="5" t="s">
        <v>44</v>
      </c>
      <c r="N12">
        <v>4</v>
      </c>
      <c r="O12" s="2">
        <v>1252</v>
      </c>
      <c r="P12" s="2">
        <v>2295</v>
      </c>
      <c r="Q12" s="2">
        <v>4172</v>
      </c>
      <c r="R12" s="2">
        <f t="shared" si="0"/>
        <v>5008</v>
      </c>
      <c r="S12" s="2">
        <f t="shared" si="1"/>
        <v>9180</v>
      </c>
    </row>
    <row r="13" spans="1:19" x14ac:dyDescent="0.3">
      <c r="A13" s="3" t="s">
        <v>53</v>
      </c>
      <c r="B13" s="1">
        <v>44535</v>
      </c>
      <c r="C13">
        <v>5</v>
      </c>
      <c r="D13" t="s">
        <v>20</v>
      </c>
      <c r="E13">
        <v>2021</v>
      </c>
      <c r="F13">
        <v>35</v>
      </c>
      <c r="G13" s="8" t="s">
        <v>21</v>
      </c>
      <c r="H13" t="s">
        <v>22</v>
      </c>
      <c r="I13" t="s">
        <v>37</v>
      </c>
      <c r="J13" t="s">
        <v>54</v>
      </c>
      <c r="K13" t="s">
        <v>25</v>
      </c>
      <c r="L13" t="s">
        <v>26</v>
      </c>
      <c r="M13" s="5" t="s">
        <v>55</v>
      </c>
      <c r="N13">
        <v>1</v>
      </c>
      <c r="O13" s="2">
        <v>1266</v>
      </c>
      <c r="P13" s="2">
        <v>2320</v>
      </c>
      <c r="Q13" s="2">
        <v>1054</v>
      </c>
      <c r="R13" s="2">
        <f t="shared" si="0"/>
        <v>1266</v>
      </c>
      <c r="S13" s="2">
        <f t="shared" si="1"/>
        <v>2320</v>
      </c>
    </row>
    <row r="14" spans="1:19" x14ac:dyDescent="0.3">
      <c r="A14" s="3" t="s">
        <v>56</v>
      </c>
      <c r="B14" s="1">
        <v>44535</v>
      </c>
      <c r="C14">
        <v>5</v>
      </c>
      <c r="D14" t="s">
        <v>20</v>
      </c>
      <c r="E14">
        <v>2021</v>
      </c>
      <c r="F14">
        <v>37</v>
      </c>
      <c r="G14" s="8" t="s">
        <v>21</v>
      </c>
      <c r="H14" t="s">
        <v>22</v>
      </c>
      <c r="I14" t="s">
        <v>23</v>
      </c>
      <c r="J14" t="s">
        <v>24</v>
      </c>
      <c r="K14" t="s">
        <v>25</v>
      </c>
      <c r="L14" t="s">
        <v>26</v>
      </c>
      <c r="M14" s="5" t="s">
        <v>27</v>
      </c>
      <c r="N14">
        <v>1</v>
      </c>
      <c r="O14" s="2">
        <v>1252</v>
      </c>
      <c r="P14" s="2">
        <v>2295</v>
      </c>
      <c r="Q14" s="2">
        <v>1043</v>
      </c>
      <c r="R14" s="2">
        <f t="shared" si="0"/>
        <v>1252</v>
      </c>
      <c r="S14" s="2">
        <f t="shared" si="1"/>
        <v>2295</v>
      </c>
    </row>
    <row r="15" spans="1:19" x14ac:dyDescent="0.3">
      <c r="A15" s="3" t="s">
        <v>57</v>
      </c>
      <c r="B15" s="1">
        <v>44536</v>
      </c>
      <c r="C15">
        <v>6</v>
      </c>
      <c r="D15" t="s">
        <v>20</v>
      </c>
      <c r="E15">
        <v>2021</v>
      </c>
      <c r="F15">
        <v>23</v>
      </c>
      <c r="G15" s="8" t="s">
        <v>43</v>
      </c>
      <c r="H15" t="s">
        <v>28</v>
      </c>
      <c r="I15" t="s">
        <v>29</v>
      </c>
      <c r="J15" t="s">
        <v>30</v>
      </c>
      <c r="K15" t="s">
        <v>25</v>
      </c>
      <c r="L15" t="s">
        <v>26</v>
      </c>
      <c r="M15" s="5" t="s">
        <v>34</v>
      </c>
      <c r="N15">
        <v>3</v>
      </c>
      <c r="O15" s="2">
        <v>420</v>
      </c>
      <c r="P15" s="2">
        <v>769</v>
      </c>
      <c r="Q15" s="2">
        <v>1047</v>
      </c>
      <c r="R15" s="2">
        <f t="shared" si="0"/>
        <v>1260</v>
      </c>
      <c r="S15" s="2">
        <f t="shared" si="1"/>
        <v>2307</v>
      </c>
    </row>
    <row r="16" spans="1:19" x14ac:dyDescent="0.3">
      <c r="A16" s="3" t="s">
        <v>58</v>
      </c>
      <c r="B16" s="1">
        <v>44536</v>
      </c>
      <c r="C16">
        <v>6</v>
      </c>
      <c r="D16" t="s">
        <v>20</v>
      </c>
      <c r="E16">
        <v>2021</v>
      </c>
      <c r="F16">
        <v>27</v>
      </c>
      <c r="G16" s="8" t="s">
        <v>36</v>
      </c>
      <c r="H16" t="s">
        <v>28</v>
      </c>
      <c r="I16" t="s">
        <v>59</v>
      </c>
      <c r="J16" t="s">
        <v>60</v>
      </c>
      <c r="K16" t="s">
        <v>25</v>
      </c>
      <c r="L16" t="s">
        <v>26</v>
      </c>
      <c r="M16" s="5" t="s">
        <v>27</v>
      </c>
      <c r="N16">
        <v>1</v>
      </c>
      <c r="O16" s="2">
        <v>1252</v>
      </c>
      <c r="P16" s="2">
        <v>2295</v>
      </c>
      <c r="Q16" s="2">
        <v>1043</v>
      </c>
      <c r="R16" s="2">
        <f t="shared" si="0"/>
        <v>1252</v>
      </c>
      <c r="S16" s="2">
        <f t="shared" si="1"/>
        <v>2295</v>
      </c>
    </row>
    <row r="17" spans="1:19" x14ac:dyDescent="0.3">
      <c r="A17" s="3" t="s">
        <v>61</v>
      </c>
      <c r="B17" s="1">
        <v>44536</v>
      </c>
      <c r="C17">
        <v>6</v>
      </c>
      <c r="D17" t="s">
        <v>20</v>
      </c>
      <c r="E17">
        <v>2021</v>
      </c>
      <c r="F17">
        <v>36</v>
      </c>
      <c r="H17" t="s">
        <v>28</v>
      </c>
      <c r="I17" t="s">
        <v>37</v>
      </c>
      <c r="J17" t="s">
        <v>38</v>
      </c>
      <c r="K17" t="s">
        <v>25</v>
      </c>
      <c r="L17" t="s">
        <v>26</v>
      </c>
      <c r="M17" s="5" t="s">
        <v>62</v>
      </c>
      <c r="N17">
        <v>1</v>
      </c>
      <c r="O17" s="2">
        <v>1252</v>
      </c>
      <c r="P17" s="2">
        <v>2295</v>
      </c>
      <c r="Q17" s="2">
        <v>1043</v>
      </c>
      <c r="R17" s="2">
        <f t="shared" si="0"/>
        <v>1252</v>
      </c>
      <c r="S17" s="2">
        <f t="shared" si="1"/>
        <v>2295</v>
      </c>
    </row>
    <row r="18" spans="1:19" x14ac:dyDescent="0.3">
      <c r="A18" s="3" t="s">
        <v>63</v>
      </c>
      <c r="B18" s="1">
        <v>44536</v>
      </c>
      <c r="C18">
        <v>6</v>
      </c>
      <c r="D18" t="s">
        <v>20</v>
      </c>
      <c r="E18">
        <v>2021</v>
      </c>
      <c r="F18">
        <v>47</v>
      </c>
      <c r="G18" s="8" t="s">
        <v>21</v>
      </c>
      <c r="H18" t="s">
        <v>28</v>
      </c>
      <c r="I18" t="s">
        <v>29</v>
      </c>
      <c r="J18" t="s">
        <v>30</v>
      </c>
      <c r="K18" t="s">
        <v>25</v>
      </c>
      <c r="L18" t="s">
        <v>26</v>
      </c>
      <c r="M18" s="5" t="s">
        <v>55</v>
      </c>
      <c r="N18">
        <v>1</v>
      </c>
      <c r="O18" s="2">
        <v>1266</v>
      </c>
      <c r="P18" s="2">
        <v>2320</v>
      </c>
      <c r="Q18" s="2">
        <v>1054</v>
      </c>
      <c r="R18" s="2">
        <f t="shared" si="0"/>
        <v>1266</v>
      </c>
      <c r="S18" s="2">
        <f t="shared" si="1"/>
        <v>2320</v>
      </c>
    </row>
    <row r="19" spans="1:19" x14ac:dyDescent="0.3">
      <c r="A19" s="3" t="s">
        <v>64</v>
      </c>
      <c r="B19" s="1">
        <v>44537</v>
      </c>
      <c r="C19">
        <v>7</v>
      </c>
      <c r="D19" t="s">
        <v>65</v>
      </c>
      <c r="E19">
        <v>2021</v>
      </c>
      <c r="F19">
        <v>30</v>
      </c>
      <c r="G19" s="8" t="s">
        <v>36</v>
      </c>
      <c r="H19" t="s">
        <v>28</v>
      </c>
      <c r="I19" t="s">
        <v>23</v>
      </c>
      <c r="J19" t="s">
        <v>24</v>
      </c>
      <c r="K19" t="s">
        <v>25</v>
      </c>
      <c r="L19" t="s">
        <v>26</v>
      </c>
      <c r="M19" s="5" t="s">
        <v>66</v>
      </c>
      <c r="N19">
        <v>4</v>
      </c>
      <c r="O19" s="2">
        <v>420</v>
      </c>
      <c r="P19" s="2">
        <v>769</v>
      </c>
      <c r="Q19" s="2">
        <v>1396</v>
      </c>
      <c r="R19" s="2">
        <f t="shared" si="0"/>
        <v>1680</v>
      </c>
      <c r="S19" s="2">
        <f t="shared" si="1"/>
        <v>3076</v>
      </c>
    </row>
    <row r="20" spans="1:19" x14ac:dyDescent="0.3">
      <c r="A20" s="3" t="s">
        <v>67</v>
      </c>
      <c r="B20" s="1">
        <v>44537</v>
      </c>
      <c r="C20">
        <v>7</v>
      </c>
      <c r="D20" t="s">
        <v>20</v>
      </c>
      <c r="E20">
        <v>2021</v>
      </c>
      <c r="F20">
        <v>38</v>
      </c>
      <c r="G20" s="8" t="s">
        <v>21</v>
      </c>
      <c r="H20" t="s">
        <v>28</v>
      </c>
      <c r="I20" t="s">
        <v>23</v>
      </c>
      <c r="J20" t="s">
        <v>24</v>
      </c>
      <c r="K20" t="s">
        <v>25</v>
      </c>
      <c r="L20" t="s">
        <v>26</v>
      </c>
      <c r="M20" s="5" t="s">
        <v>31</v>
      </c>
      <c r="N20">
        <v>2</v>
      </c>
      <c r="O20" s="2">
        <v>1266</v>
      </c>
      <c r="P20" s="2">
        <v>2320</v>
      </c>
      <c r="Q20" s="2">
        <v>2108</v>
      </c>
      <c r="R20" s="2">
        <f t="shared" si="0"/>
        <v>2532</v>
      </c>
      <c r="S20" s="2">
        <f t="shared" si="1"/>
        <v>4640</v>
      </c>
    </row>
    <row r="21" spans="1:19" x14ac:dyDescent="0.3">
      <c r="A21" s="3" t="s">
        <v>68</v>
      </c>
      <c r="B21" s="1">
        <v>44538</v>
      </c>
      <c r="C21">
        <v>8</v>
      </c>
      <c r="D21" t="s">
        <v>20</v>
      </c>
      <c r="E21">
        <v>2021</v>
      </c>
      <c r="F21">
        <v>19</v>
      </c>
      <c r="G21" s="8" t="s">
        <v>43</v>
      </c>
      <c r="H21" t="s">
        <v>22</v>
      </c>
      <c r="I21" t="s">
        <v>37</v>
      </c>
      <c r="J21" t="s">
        <v>38</v>
      </c>
      <c r="K21" t="s">
        <v>25</v>
      </c>
      <c r="L21" t="s">
        <v>26</v>
      </c>
      <c r="M21" s="5" t="s">
        <v>69</v>
      </c>
      <c r="N21">
        <v>4</v>
      </c>
      <c r="O21" s="2">
        <v>308</v>
      </c>
      <c r="P21" s="2">
        <v>565</v>
      </c>
      <c r="Q21" s="2">
        <v>1028</v>
      </c>
      <c r="R21" s="2">
        <f t="shared" si="0"/>
        <v>1232</v>
      </c>
      <c r="S21" s="2">
        <f t="shared" si="1"/>
        <v>2260</v>
      </c>
    </row>
    <row r="22" spans="1:19" x14ac:dyDescent="0.3">
      <c r="A22" s="3" t="s">
        <v>70</v>
      </c>
      <c r="B22" s="1">
        <v>44538</v>
      </c>
      <c r="C22">
        <v>8</v>
      </c>
      <c r="D22" t="s">
        <v>20</v>
      </c>
      <c r="E22">
        <v>2021</v>
      </c>
      <c r="F22">
        <v>30</v>
      </c>
      <c r="G22" s="8" t="s">
        <v>36</v>
      </c>
      <c r="H22" t="s">
        <v>22</v>
      </c>
      <c r="I22" t="s">
        <v>59</v>
      </c>
      <c r="J22" t="s">
        <v>60</v>
      </c>
      <c r="K22" t="s">
        <v>25</v>
      </c>
      <c r="L22" t="s">
        <v>26</v>
      </c>
      <c r="M22" s="5" t="s">
        <v>55</v>
      </c>
      <c r="N22">
        <v>4</v>
      </c>
      <c r="O22" s="2">
        <v>1266</v>
      </c>
      <c r="P22" s="2">
        <v>2320</v>
      </c>
      <c r="Q22" s="2">
        <v>4216</v>
      </c>
      <c r="R22" s="2">
        <f t="shared" si="0"/>
        <v>5064</v>
      </c>
      <c r="S22" s="2">
        <f t="shared" si="1"/>
        <v>9280</v>
      </c>
    </row>
    <row r="23" spans="1:19" x14ac:dyDescent="0.3">
      <c r="A23" s="3" t="s">
        <v>71</v>
      </c>
      <c r="B23" s="1">
        <v>44538</v>
      </c>
      <c r="C23">
        <v>8</v>
      </c>
      <c r="D23" t="s">
        <v>20</v>
      </c>
      <c r="E23">
        <v>2021</v>
      </c>
      <c r="F23">
        <v>39</v>
      </c>
      <c r="G23" s="8" t="s">
        <v>21</v>
      </c>
      <c r="H23" t="s">
        <v>22</v>
      </c>
      <c r="I23" t="s">
        <v>23</v>
      </c>
      <c r="J23" t="s">
        <v>72</v>
      </c>
      <c r="K23" t="s">
        <v>25</v>
      </c>
      <c r="L23" t="s">
        <v>26</v>
      </c>
      <c r="M23" s="5"/>
      <c r="N23">
        <v>2</v>
      </c>
      <c r="O23" s="2">
        <v>1252</v>
      </c>
      <c r="P23" s="2">
        <v>2295</v>
      </c>
      <c r="Q23" s="2">
        <v>2086</v>
      </c>
      <c r="R23" s="2">
        <f t="shared" si="0"/>
        <v>2504</v>
      </c>
      <c r="S23" s="2">
        <f t="shared" si="1"/>
        <v>4590</v>
      </c>
    </row>
    <row r="24" spans="1:19" x14ac:dyDescent="0.3">
      <c r="A24" s="3" t="s">
        <v>73</v>
      </c>
      <c r="B24" s="1">
        <v>44538</v>
      </c>
      <c r="C24">
        <v>8</v>
      </c>
      <c r="D24" t="s">
        <v>20</v>
      </c>
      <c r="E24">
        <v>2021</v>
      </c>
      <c r="F24">
        <v>35</v>
      </c>
      <c r="G24" s="8" t="s">
        <v>21</v>
      </c>
      <c r="H24" t="s">
        <v>22</v>
      </c>
      <c r="I24" t="s">
        <v>23</v>
      </c>
      <c r="J24" t="s">
        <v>24</v>
      </c>
      <c r="K24" t="s">
        <v>25</v>
      </c>
      <c r="L24" t="s">
        <v>26</v>
      </c>
      <c r="M24" s="5" t="s">
        <v>74</v>
      </c>
      <c r="O24" s="2">
        <v>295</v>
      </c>
      <c r="P24" s="2">
        <v>540</v>
      </c>
      <c r="Q24" s="2">
        <v>245</v>
      </c>
      <c r="R24" s="2">
        <f t="shared" si="0"/>
        <v>0</v>
      </c>
      <c r="S24" s="2">
        <f t="shared" si="1"/>
        <v>0</v>
      </c>
    </row>
    <row r="25" spans="1:19" x14ac:dyDescent="0.3">
      <c r="A25" s="3" t="s">
        <v>75</v>
      </c>
      <c r="B25" s="1">
        <v>44539</v>
      </c>
      <c r="C25">
        <v>9</v>
      </c>
      <c r="D25" t="s">
        <v>20</v>
      </c>
      <c r="E25">
        <v>2021</v>
      </c>
      <c r="F25">
        <v>33</v>
      </c>
      <c r="G25" s="8" t="s">
        <v>36</v>
      </c>
      <c r="H25" t="s">
        <v>22</v>
      </c>
      <c r="I25" t="s">
        <v>37</v>
      </c>
      <c r="J25" t="s">
        <v>76</v>
      </c>
      <c r="K25" t="s">
        <v>25</v>
      </c>
      <c r="L25" t="s">
        <v>26</v>
      </c>
      <c r="M25" s="5" t="s">
        <v>77</v>
      </c>
      <c r="N25">
        <v>2</v>
      </c>
      <c r="O25" s="2">
        <v>1898</v>
      </c>
      <c r="P25" s="2">
        <v>3375</v>
      </c>
      <c r="Q25" s="2">
        <v>2954</v>
      </c>
      <c r="R25" s="2">
        <f t="shared" si="0"/>
        <v>3796</v>
      </c>
      <c r="S25" s="2">
        <f t="shared" si="1"/>
        <v>6750</v>
      </c>
    </row>
    <row r="26" spans="1:19" x14ac:dyDescent="0.3">
      <c r="A26" s="3" t="s">
        <v>78</v>
      </c>
      <c r="B26" s="1">
        <v>44539</v>
      </c>
      <c r="C26">
        <v>9</v>
      </c>
      <c r="D26" t="s">
        <v>20</v>
      </c>
      <c r="E26">
        <v>2021</v>
      </c>
      <c r="F26">
        <v>41</v>
      </c>
      <c r="G26" s="8" t="s">
        <v>21</v>
      </c>
      <c r="H26" t="s">
        <v>22</v>
      </c>
      <c r="I26" t="s">
        <v>51</v>
      </c>
      <c r="J26" t="s">
        <v>79</v>
      </c>
      <c r="K26" t="s">
        <v>25</v>
      </c>
      <c r="L26" t="s">
        <v>26</v>
      </c>
      <c r="M26" s="5" t="s">
        <v>31</v>
      </c>
      <c r="N26">
        <v>1</v>
      </c>
      <c r="O26" s="2">
        <v>1266</v>
      </c>
      <c r="P26" s="2">
        <v>2320</v>
      </c>
      <c r="Q26" s="2">
        <v>1054</v>
      </c>
      <c r="R26" s="2">
        <f t="shared" si="0"/>
        <v>1266</v>
      </c>
      <c r="S26" s="2">
        <f t="shared" si="1"/>
        <v>2320</v>
      </c>
    </row>
    <row r="27" spans="1:19" x14ac:dyDescent="0.3">
      <c r="A27" s="3" t="s">
        <v>80</v>
      </c>
      <c r="B27" s="1">
        <v>44540</v>
      </c>
      <c r="C27">
        <v>10</v>
      </c>
      <c r="D27" t="s">
        <v>20</v>
      </c>
      <c r="E27">
        <v>2021</v>
      </c>
      <c r="F27">
        <v>34</v>
      </c>
      <c r="G27" s="8" t="s">
        <v>36</v>
      </c>
      <c r="H27" t="s">
        <v>22</v>
      </c>
      <c r="I27" t="s">
        <v>23</v>
      </c>
      <c r="J27" t="s">
        <v>24</v>
      </c>
      <c r="K27" t="s">
        <v>25</v>
      </c>
      <c r="L27" t="s">
        <v>26</v>
      </c>
      <c r="M27" s="5" t="s">
        <v>62</v>
      </c>
      <c r="N27">
        <v>2</v>
      </c>
      <c r="O27" s="2">
        <v>1252</v>
      </c>
      <c r="P27" s="2">
        <v>2295</v>
      </c>
      <c r="Q27" s="2">
        <v>2086</v>
      </c>
      <c r="R27" s="2">
        <f t="shared" si="0"/>
        <v>2504</v>
      </c>
      <c r="S27" s="2">
        <f t="shared" si="1"/>
        <v>4590</v>
      </c>
    </row>
    <row r="28" spans="1:19" x14ac:dyDescent="0.3">
      <c r="A28" s="3" t="s">
        <v>81</v>
      </c>
      <c r="B28" s="1">
        <v>44540</v>
      </c>
      <c r="C28">
        <v>10</v>
      </c>
      <c r="D28" t="s">
        <v>20</v>
      </c>
      <c r="E28">
        <v>2021</v>
      </c>
      <c r="F28">
        <v>40</v>
      </c>
      <c r="G28" s="8" t="s">
        <v>21</v>
      </c>
      <c r="H28" t="s">
        <v>28</v>
      </c>
      <c r="I28" t="s">
        <v>37</v>
      </c>
      <c r="J28" t="s">
        <v>38</v>
      </c>
      <c r="K28" t="s">
        <v>25</v>
      </c>
      <c r="L28" t="s">
        <v>26</v>
      </c>
      <c r="M28" s="5" t="s">
        <v>62</v>
      </c>
      <c r="N28">
        <v>2</v>
      </c>
      <c r="O28" s="2">
        <v>1252</v>
      </c>
      <c r="P28" s="2">
        <v>2295</v>
      </c>
      <c r="Q28" s="2">
        <v>2086</v>
      </c>
      <c r="R28" s="2">
        <f t="shared" si="0"/>
        <v>2504</v>
      </c>
      <c r="S28" s="2">
        <f t="shared" si="1"/>
        <v>4590</v>
      </c>
    </row>
    <row r="29" spans="1:19" x14ac:dyDescent="0.3">
      <c r="A29" s="3" t="s">
        <v>82</v>
      </c>
      <c r="B29" s="1">
        <v>44540</v>
      </c>
      <c r="C29">
        <v>10</v>
      </c>
      <c r="D29" t="s">
        <v>20</v>
      </c>
      <c r="E29">
        <v>2021</v>
      </c>
      <c r="F29">
        <v>26</v>
      </c>
      <c r="G29" s="8" t="s">
        <v>36</v>
      </c>
      <c r="H29" t="s">
        <v>28</v>
      </c>
      <c r="I29" t="s">
        <v>29</v>
      </c>
      <c r="J29" t="s">
        <v>30</v>
      </c>
      <c r="K29" t="s">
        <v>25</v>
      </c>
      <c r="L29" t="s">
        <v>26</v>
      </c>
      <c r="M29" s="5" t="s">
        <v>44</v>
      </c>
      <c r="N29">
        <v>1</v>
      </c>
      <c r="O29" s="2">
        <v>1252</v>
      </c>
      <c r="P29" s="2">
        <v>2295</v>
      </c>
      <c r="Q29" s="2">
        <v>1043</v>
      </c>
      <c r="R29" s="2">
        <f t="shared" si="0"/>
        <v>1252</v>
      </c>
      <c r="S29" s="2">
        <f t="shared" si="1"/>
        <v>2295</v>
      </c>
    </row>
    <row r="30" spans="1:19" x14ac:dyDescent="0.3">
      <c r="A30" s="3" t="s">
        <v>83</v>
      </c>
      <c r="B30" s="1">
        <v>44540</v>
      </c>
      <c r="C30">
        <v>10</v>
      </c>
      <c r="D30" t="s">
        <v>20</v>
      </c>
      <c r="E30">
        <v>2021</v>
      </c>
      <c r="F30">
        <v>34</v>
      </c>
      <c r="G30" s="8" t="s">
        <v>36</v>
      </c>
      <c r="H30" t="s">
        <v>28</v>
      </c>
      <c r="I30" t="s">
        <v>23</v>
      </c>
      <c r="J30" t="s">
        <v>24</v>
      </c>
      <c r="K30" t="s">
        <v>25</v>
      </c>
      <c r="L30" t="s">
        <v>26</v>
      </c>
      <c r="M30" s="5" t="s">
        <v>84</v>
      </c>
      <c r="N30">
        <v>1</v>
      </c>
      <c r="O30" s="2">
        <v>295</v>
      </c>
      <c r="P30" s="2">
        <v>540</v>
      </c>
      <c r="Q30" s="2">
        <v>245</v>
      </c>
      <c r="R30" s="2">
        <f t="shared" si="0"/>
        <v>295</v>
      </c>
      <c r="S30" s="2">
        <f t="shared" si="1"/>
        <v>540</v>
      </c>
    </row>
    <row r="31" spans="1:19" x14ac:dyDescent="0.3">
      <c r="A31" s="3" t="s">
        <v>85</v>
      </c>
      <c r="B31" s="1">
        <v>44540</v>
      </c>
      <c r="C31">
        <v>10</v>
      </c>
      <c r="D31" t="s">
        <v>20</v>
      </c>
      <c r="E31">
        <v>2021</v>
      </c>
      <c r="F31">
        <v>34</v>
      </c>
      <c r="G31" s="8" t="s">
        <v>36</v>
      </c>
      <c r="H31" t="s">
        <v>22</v>
      </c>
      <c r="I31" t="s">
        <v>23</v>
      </c>
      <c r="J31" t="s">
        <v>47</v>
      </c>
      <c r="K31" t="s">
        <v>25</v>
      </c>
      <c r="L31" t="s">
        <v>26</v>
      </c>
      <c r="M31" s="5" t="s">
        <v>86</v>
      </c>
      <c r="N31">
        <v>1</v>
      </c>
      <c r="O31" s="2">
        <v>1912</v>
      </c>
      <c r="P31" s="2">
        <v>3400</v>
      </c>
      <c r="Q31" s="2">
        <v>1488</v>
      </c>
      <c r="R31" s="2">
        <f t="shared" si="0"/>
        <v>1912</v>
      </c>
      <c r="S31" s="2">
        <f t="shared" si="1"/>
        <v>3400</v>
      </c>
    </row>
    <row r="32" spans="1:19" x14ac:dyDescent="0.3">
      <c r="A32" s="3" t="s">
        <v>87</v>
      </c>
      <c r="B32" s="1">
        <v>44540</v>
      </c>
      <c r="C32">
        <v>10</v>
      </c>
      <c r="D32" t="s">
        <v>20</v>
      </c>
      <c r="E32">
        <v>2021</v>
      </c>
      <c r="F32">
        <v>38</v>
      </c>
      <c r="G32" s="8" t="s">
        <v>21</v>
      </c>
      <c r="H32" t="s">
        <v>28</v>
      </c>
      <c r="I32" t="s">
        <v>37</v>
      </c>
      <c r="J32" t="s">
        <v>38</v>
      </c>
      <c r="K32" t="s">
        <v>25</v>
      </c>
      <c r="L32" t="s">
        <v>26</v>
      </c>
      <c r="M32" s="5" t="s">
        <v>44</v>
      </c>
      <c r="N32">
        <v>1</v>
      </c>
      <c r="O32" s="2">
        <v>1252</v>
      </c>
      <c r="P32" s="2">
        <v>2295</v>
      </c>
      <c r="Q32" s="2">
        <v>1043</v>
      </c>
      <c r="R32" s="2">
        <f t="shared" si="0"/>
        <v>1252</v>
      </c>
      <c r="S32" s="2">
        <f t="shared" si="1"/>
        <v>2295</v>
      </c>
    </row>
    <row r="33" spans="1:19" x14ac:dyDescent="0.3">
      <c r="A33" s="3" t="s">
        <v>88</v>
      </c>
      <c r="B33" s="1">
        <v>44541</v>
      </c>
      <c r="C33">
        <v>11</v>
      </c>
      <c r="D33" t="s">
        <v>20</v>
      </c>
      <c r="E33">
        <v>2021</v>
      </c>
      <c r="F33">
        <v>24</v>
      </c>
      <c r="G33" s="8" t="s">
        <v>43</v>
      </c>
      <c r="H33" t="s">
        <v>22</v>
      </c>
      <c r="I33" t="s">
        <v>89</v>
      </c>
      <c r="J33" t="s">
        <v>90</v>
      </c>
      <c r="K33" t="s">
        <v>25</v>
      </c>
      <c r="L33" t="s">
        <v>26</v>
      </c>
      <c r="M33" s="5" t="s">
        <v>44</v>
      </c>
      <c r="N33">
        <v>3</v>
      </c>
      <c r="O33" s="2">
        <v>1252</v>
      </c>
      <c r="P33" s="2">
        <v>2295</v>
      </c>
      <c r="Q33" s="2">
        <v>3129</v>
      </c>
      <c r="R33" s="2">
        <f t="shared" si="0"/>
        <v>3756</v>
      </c>
      <c r="S33" s="2">
        <f t="shared" si="1"/>
        <v>6885</v>
      </c>
    </row>
    <row r="34" spans="1:19" x14ac:dyDescent="0.3">
      <c r="A34" s="3" t="s">
        <v>91</v>
      </c>
      <c r="B34" s="1">
        <v>44541</v>
      </c>
      <c r="C34">
        <v>11</v>
      </c>
      <c r="D34" t="s">
        <v>20</v>
      </c>
      <c r="E34">
        <v>2021</v>
      </c>
      <c r="F34">
        <v>41</v>
      </c>
      <c r="G34" s="8" t="s">
        <v>21</v>
      </c>
      <c r="H34" t="s">
        <v>22</v>
      </c>
      <c r="I34" t="s">
        <v>37</v>
      </c>
      <c r="J34" t="s">
        <v>38</v>
      </c>
      <c r="K34" t="s">
        <v>25</v>
      </c>
      <c r="L34" t="s">
        <v>26</v>
      </c>
      <c r="M34" s="5" t="s">
        <v>66</v>
      </c>
      <c r="N34">
        <v>2</v>
      </c>
      <c r="O34" s="2">
        <v>420</v>
      </c>
      <c r="P34" s="2">
        <v>769</v>
      </c>
      <c r="Q34" s="2">
        <v>698</v>
      </c>
      <c r="R34" s="2">
        <f t="shared" si="0"/>
        <v>840</v>
      </c>
      <c r="S34" s="2">
        <f t="shared" si="1"/>
        <v>1538</v>
      </c>
    </row>
    <row r="35" spans="1:19" x14ac:dyDescent="0.3">
      <c r="A35" s="3" t="s">
        <v>92</v>
      </c>
      <c r="B35" s="1">
        <v>44541</v>
      </c>
      <c r="C35">
        <v>11</v>
      </c>
      <c r="D35" t="s">
        <v>20</v>
      </c>
      <c r="E35">
        <v>2021</v>
      </c>
      <c r="F35">
        <v>27</v>
      </c>
      <c r="G35" s="8" t="s">
        <v>36</v>
      </c>
      <c r="H35" t="s">
        <v>28</v>
      </c>
      <c r="I35" t="s">
        <v>59</v>
      </c>
      <c r="J35" t="s">
        <v>60</v>
      </c>
      <c r="K35" t="s">
        <v>25</v>
      </c>
      <c r="L35" t="s">
        <v>26</v>
      </c>
      <c r="M35" s="5" t="s">
        <v>27</v>
      </c>
      <c r="N35">
        <v>1</v>
      </c>
      <c r="O35" s="2">
        <v>1252</v>
      </c>
      <c r="P35" s="2">
        <v>2295</v>
      </c>
      <c r="Q35" s="2">
        <v>1043</v>
      </c>
      <c r="R35" s="2">
        <f t="shared" si="0"/>
        <v>1252</v>
      </c>
      <c r="S35" s="2">
        <f t="shared" si="1"/>
        <v>2295</v>
      </c>
    </row>
    <row r="36" spans="1:19" x14ac:dyDescent="0.3">
      <c r="A36" s="3" t="s">
        <v>93</v>
      </c>
      <c r="B36" s="1">
        <v>44541</v>
      </c>
      <c r="C36">
        <v>11</v>
      </c>
      <c r="D36" t="s">
        <v>20</v>
      </c>
      <c r="E36">
        <v>2021</v>
      </c>
      <c r="F36">
        <v>37</v>
      </c>
      <c r="G36" s="8" t="s">
        <v>21</v>
      </c>
      <c r="H36" t="s">
        <v>28</v>
      </c>
      <c r="I36" t="s">
        <v>23</v>
      </c>
      <c r="J36" t="s">
        <v>24</v>
      </c>
      <c r="K36" t="s">
        <v>25</v>
      </c>
      <c r="L36" t="s">
        <v>26</v>
      </c>
      <c r="M36" s="5" t="s">
        <v>34</v>
      </c>
      <c r="N36">
        <v>1</v>
      </c>
      <c r="O36" s="2">
        <v>420</v>
      </c>
      <c r="P36" s="2">
        <v>769</v>
      </c>
      <c r="Q36" s="2">
        <v>349</v>
      </c>
      <c r="R36" s="2">
        <f t="shared" si="0"/>
        <v>420</v>
      </c>
      <c r="S36" s="2">
        <f t="shared" si="1"/>
        <v>769</v>
      </c>
    </row>
    <row r="37" spans="1:19" x14ac:dyDescent="0.3">
      <c r="A37" s="3" t="s">
        <v>94</v>
      </c>
      <c r="B37" s="1">
        <v>44541</v>
      </c>
      <c r="C37">
        <v>11</v>
      </c>
      <c r="D37" t="s">
        <v>20</v>
      </c>
      <c r="E37">
        <v>2021</v>
      </c>
      <c r="F37">
        <v>38</v>
      </c>
      <c r="G37" s="8" t="s">
        <v>21</v>
      </c>
      <c r="H37" t="s">
        <v>22</v>
      </c>
      <c r="I37" t="s">
        <v>23</v>
      </c>
      <c r="J37" t="s">
        <v>24</v>
      </c>
      <c r="K37" t="s">
        <v>25</v>
      </c>
      <c r="L37" t="s">
        <v>26</v>
      </c>
      <c r="M37" s="5" t="s">
        <v>55</v>
      </c>
      <c r="N37">
        <v>1</v>
      </c>
      <c r="O37" s="2">
        <v>1266</v>
      </c>
      <c r="P37" s="2">
        <v>2320</v>
      </c>
      <c r="Q37" s="2">
        <v>1054</v>
      </c>
      <c r="R37" s="2">
        <f t="shared" si="0"/>
        <v>1266</v>
      </c>
      <c r="S37" s="2">
        <f t="shared" si="1"/>
        <v>2320</v>
      </c>
    </row>
    <row r="38" spans="1:19" x14ac:dyDescent="0.3">
      <c r="A38" s="3" t="s">
        <v>95</v>
      </c>
      <c r="B38" s="1">
        <v>44542</v>
      </c>
      <c r="C38">
        <v>12</v>
      </c>
      <c r="D38" t="s">
        <v>20</v>
      </c>
      <c r="E38">
        <v>2021</v>
      </c>
      <c r="F38">
        <v>36</v>
      </c>
      <c r="G38" s="8" t="s">
        <v>21</v>
      </c>
      <c r="H38" t="s">
        <v>22</v>
      </c>
      <c r="I38" t="s">
        <v>37</v>
      </c>
      <c r="J38" t="s">
        <v>38</v>
      </c>
      <c r="K38" t="s">
        <v>25</v>
      </c>
      <c r="L38" t="s">
        <v>26</v>
      </c>
      <c r="M38" s="5" t="s">
        <v>31</v>
      </c>
      <c r="N38">
        <v>4</v>
      </c>
      <c r="O38" s="2">
        <v>1266</v>
      </c>
      <c r="P38" s="2">
        <v>2320</v>
      </c>
      <c r="Q38" s="2">
        <v>4216</v>
      </c>
      <c r="R38" s="2">
        <f t="shared" si="0"/>
        <v>5064</v>
      </c>
      <c r="S38" s="2">
        <f t="shared" si="1"/>
        <v>9280</v>
      </c>
    </row>
    <row r="39" spans="1:19" x14ac:dyDescent="0.3">
      <c r="A39" s="3" t="s">
        <v>96</v>
      </c>
      <c r="B39" s="1">
        <v>44542</v>
      </c>
      <c r="C39">
        <v>12</v>
      </c>
      <c r="D39" t="s">
        <v>20</v>
      </c>
      <c r="E39">
        <v>2021</v>
      </c>
      <c r="F39">
        <v>37</v>
      </c>
      <c r="G39" s="8" t="s">
        <v>21</v>
      </c>
      <c r="H39" t="s">
        <v>28</v>
      </c>
      <c r="I39" t="s">
        <v>23</v>
      </c>
      <c r="J39" t="s">
        <v>24</v>
      </c>
      <c r="K39" t="s">
        <v>25</v>
      </c>
      <c r="L39" t="s">
        <v>26</v>
      </c>
      <c r="M39" s="5" t="s">
        <v>34</v>
      </c>
      <c r="N39">
        <v>4</v>
      </c>
      <c r="O39" s="2">
        <v>420</v>
      </c>
      <c r="P39" s="2">
        <v>769</v>
      </c>
      <c r="Q39" s="2">
        <v>1396</v>
      </c>
      <c r="R39" s="2">
        <f t="shared" si="0"/>
        <v>1680</v>
      </c>
      <c r="S39" s="2">
        <f t="shared" si="1"/>
        <v>3076</v>
      </c>
    </row>
    <row r="40" spans="1:19" x14ac:dyDescent="0.3">
      <c r="A40" s="3" t="s">
        <v>97</v>
      </c>
      <c r="B40" s="1">
        <v>44542</v>
      </c>
      <c r="C40">
        <v>12</v>
      </c>
      <c r="D40" t="s">
        <v>20</v>
      </c>
      <c r="E40">
        <v>2021</v>
      </c>
      <c r="F40">
        <v>34</v>
      </c>
      <c r="G40" s="8" t="s">
        <v>36</v>
      </c>
      <c r="H40" t="s">
        <v>28</v>
      </c>
      <c r="I40" t="s">
        <v>37</v>
      </c>
      <c r="J40" t="s">
        <v>38</v>
      </c>
      <c r="K40" t="s">
        <v>25</v>
      </c>
      <c r="L40" t="s">
        <v>26</v>
      </c>
      <c r="M40" s="5" t="s">
        <v>44</v>
      </c>
      <c r="N40">
        <v>2</v>
      </c>
      <c r="O40" s="2">
        <v>1252</v>
      </c>
      <c r="P40" s="2">
        <v>2295</v>
      </c>
      <c r="Q40" s="2">
        <v>2086</v>
      </c>
      <c r="R40" s="2">
        <f t="shared" si="0"/>
        <v>2504</v>
      </c>
      <c r="S40" s="2">
        <f t="shared" si="1"/>
        <v>4590</v>
      </c>
    </row>
    <row r="41" spans="1:19" x14ac:dyDescent="0.3">
      <c r="A41" s="3" t="s">
        <v>98</v>
      </c>
      <c r="B41" s="1">
        <v>44542</v>
      </c>
      <c r="C41">
        <v>12</v>
      </c>
      <c r="D41" t="s">
        <v>20</v>
      </c>
      <c r="E41">
        <v>2021</v>
      </c>
      <c r="F41">
        <v>35</v>
      </c>
      <c r="G41" s="8" t="s">
        <v>21</v>
      </c>
      <c r="H41" t="s">
        <v>22</v>
      </c>
      <c r="I41" t="s">
        <v>37</v>
      </c>
      <c r="J41" t="s">
        <v>76</v>
      </c>
      <c r="K41" t="s">
        <v>25</v>
      </c>
      <c r="L41" t="s">
        <v>26</v>
      </c>
      <c r="M41" s="5" t="s">
        <v>31</v>
      </c>
      <c r="N41">
        <v>1</v>
      </c>
      <c r="O41" s="2">
        <v>1266</v>
      </c>
      <c r="P41" s="2">
        <v>2320</v>
      </c>
      <c r="Q41" s="2">
        <v>1054</v>
      </c>
      <c r="R41" s="2">
        <f t="shared" si="0"/>
        <v>1266</v>
      </c>
      <c r="S41" s="2">
        <f t="shared" si="1"/>
        <v>2320</v>
      </c>
    </row>
    <row r="42" spans="1:19" x14ac:dyDescent="0.3">
      <c r="A42" s="3" t="s">
        <v>99</v>
      </c>
      <c r="B42" s="1">
        <v>44542</v>
      </c>
      <c r="C42">
        <v>12</v>
      </c>
      <c r="D42" t="s">
        <v>20</v>
      </c>
      <c r="E42">
        <v>2021</v>
      </c>
      <c r="F42">
        <v>38</v>
      </c>
      <c r="G42" s="8" t="s">
        <v>21</v>
      </c>
      <c r="H42" t="s">
        <v>22</v>
      </c>
      <c r="I42" t="s">
        <v>23</v>
      </c>
      <c r="J42" t="s">
        <v>47</v>
      </c>
      <c r="K42" t="s">
        <v>25</v>
      </c>
      <c r="L42" t="s">
        <v>26</v>
      </c>
      <c r="M42" s="5" t="s">
        <v>31</v>
      </c>
      <c r="N42">
        <v>1</v>
      </c>
      <c r="O42" s="2">
        <v>1266</v>
      </c>
      <c r="P42" s="2">
        <v>2320</v>
      </c>
      <c r="Q42" s="2">
        <v>1054</v>
      </c>
      <c r="R42" s="2">
        <f t="shared" si="0"/>
        <v>1266</v>
      </c>
      <c r="S42" s="2">
        <f t="shared" si="1"/>
        <v>2320</v>
      </c>
    </row>
    <row r="43" spans="1:19" x14ac:dyDescent="0.3">
      <c r="A43" s="3" t="s">
        <v>100</v>
      </c>
      <c r="B43" s="1">
        <v>44543</v>
      </c>
      <c r="C43">
        <v>13</v>
      </c>
      <c r="D43" t="s">
        <v>20</v>
      </c>
      <c r="E43">
        <v>2021</v>
      </c>
      <c r="F43">
        <v>32</v>
      </c>
      <c r="G43" s="8" t="s">
        <v>36</v>
      </c>
      <c r="H43" t="s">
        <v>22</v>
      </c>
      <c r="I43" t="s">
        <v>37</v>
      </c>
      <c r="J43" t="s">
        <v>54</v>
      </c>
      <c r="K43" t="s">
        <v>25</v>
      </c>
      <c r="L43" t="s">
        <v>26</v>
      </c>
      <c r="M43" s="5" t="s">
        <v>31</v>
      </c>
      <c r="N43">
        <v>3</v>
      </c>
      <c r="O43" s="2">
        <v>1266</v>
      </c>
      <c r="P43" s="2">
        <v>2320</v>
      </c>
      <c r="Q43" s="2">
        <v>3162</v>
      </c>
      <c r="R43" s="2">
        <f t="shared" si="0"/>
        <v>3798</v>
      </c>
      <c r="S43" s="2">
        <f t="shared" si="1"/>
        <v>6960</v>
      </c>
    </row>
    <row r="44" spans="1:19" x14ac:dyDescent="0.3">
      <c r="A44" s="3" t="s">
        <v>101</v>
      </c>
      <c r="B44" s="1">
        <v>44543</v>
      </c>
      <c r="C44">
        <v>13</v>
      </c>
      <c r="D44" t="s">
        <v>20</v>
      </c>
      <c r="E44">
        <v>2021</v>
      </c>
      <c r="F44">
        <v>40</v>
      </c>
      <c r="G44" s="8" t="s">
        <v>21</v>
      </c>
      <c r="H44" t="s">
        <v>22</v>
      </c>
      <c r="I44" t="s">
        <v>23</v>
      </c>
      <c r="J44" t="s">
        <v>24</v>
      </c>
      <c r="K44" t="s">
        <v>25</v>
      </c>
      <c r="L44" t="s">
        <v>26</v>
      </c>
      <c r="M44" s="5" t="s">
        <v>102</v>
      </c>
      <c r="N44">
        <v>1</v>
      </c>
      <c r="O44" s="2">
        <v>308</v>
      </c>
      <c r="P44" s="2">
        <v>565</v>
      </c>
      <c r="Q44" s="2">
        <v>257</v>
      </c>
      <c r="R44" s="2">
        <f t="shared" si="0"/>
        <v>308</v>
      </c>
      <c r="S44" s="2">
        <f t="shared" si="1"/>
        <v>565</v>
      </c>
    </row>
    <row r="45" spans="1:19" x14ac:dyDescent="0.3">
      <c r="A45" s="3" t="s">
        <v>103</v>
      </c>
      <c r="B45" s="1">
        <v>44543</v>
      </c>
      <c r="C45">
        <v>13</v>
      </c>
      <c r="D45" t="s">
        <v>20</v>
      </c>
      <c r="E45">
        <v>2021</v>
      </c>
      <c r="F45">
        <v>44</v>
      </c>
      <c r="G45" s="8" t="s">
        <v>21</v>
      </c>
      <c r="H45" t="s">
        <v>22</v>
      </c>
      <c r="I45" t="s">
        <v>29</v>
      </c>
      <c r="J45" t="s">
        <v>30</v>
      </c>
      <c r="K45" t="s">
        <v>25</v>
      </c>
      <c r="L45" t="s">
        <v>26</v>
      </c>
      <c r="M45" s="5" t="s">
        <v>44</v>
      </c>
      <c r="N45">
        <v>1</v>
      </c>
      <c r="O45" s="2">
        <v>1252</v>
      </c>
      <c r="P45" s="2">
        <v>2295</v>
      </c>
      <c r="Q45" s="2">
        <v>1043</v>
      </c>
      <c r="R45" s="2">
        <f t="shared" si="0"/>
        <v>1252</v>
      </c>
      <c r="S45" s="2">
        <f t="shared" si="1"/>
        <v>2295</v>
      </c>
    </row>
    <row r="46" spans="1:19" x14ac:dyDescent="0.3">
      <c r="A46" s="3" t="s">
        <v>104</v>
      </c>
      <c r="B46" s="1">
        <v>44543</v>
      </c>
      <c r="C46">
        <v>13</v>
      </c>
      <c r="D46" t="s">
        <v>20</v>
      </c>
      <c r="E46">
        <v>2021</v>
      </c>
      <c r="F46">
        <v>49</v>
      </c>
      <c r="G46" s="8" t="s">
        <v>21</v>
      </c>
      <c r="H46" t="s">
        <v>28</v>
      </c>
      <c r="I46" t="s">
        <v>29</v>
      </c>
      <c r="J46" t="s">
        <v>30</v>
      </c>
      <c r="K46" t="s">
        <v>25</v>
      </c>
      <c r="L46" t="s">
        <v>26</v>
      </c>
      <c r="M46" s="5" t="s">
        <v>44</v>
      </c>
      <c r="N46">
        <v>1</v>
      </c>
      <c r="O46" s="2">
        <v>1252</v>
      </c>
      <c r="P46" s="2">
        <v>2295</v>
      </c>
      <c r="Q46" s="2">
        <v>1043</v>
      </c>
      <c r="R46" s="2">
        <f t="shared" si="0"/>
        <v>1252</v>
      </c>
      <c r="S46" s="2">
        <f t="shared" si="1"/>
        <v>2295</v>
      </c>
    </row>
    <row r="47" spans="1:19" x14ac:dyDescent="0.3">
      <c r="A47" s="3" t="s">
        <v>105</v>
      </c>
      <c r="B47" s="1">
        <v>44544</v>
      </c>
      <c r="C47">
        <v>14</v>
      </c>
      <c r="D47" t="s">
        <v>20</v>
      </c>
      <c r="E47">
        <v>2021</v>
      </c>
      <c r="F47">
        <v>30</v>
      </c>
      <c r="G47" s="8" t="s">
        <v>36</v>
      </c>
      <c r="H47" t="s">
        <v>22</v>
      </c>
      <c r="I47" t="s">
        <v>23</v>
      </c>
      <c r="J47" t="s">
        <v>47</v>
      </c>
      <c r="K47" t="s">
        <v>25</v>
      </c>
      <c r="L47" t="s">
        <v>26</v>
      </c>
      <c r="M47" s="5" t="s">
        <v>55</v>
      </c>
      <c r="N47">
        <v>2</v>
      </c>
      <c r="O47" s="2">
        <v>1266</v>
      </c>
      <c r="P47" s="2">
        <v>2320</v>
      </c>
      <c r="Q47" s="2">
        <v>2108</v>
      </c>
      <c r="R47" s="2">
        <f t="shared" si="0"/>
        <v>2532</v>
      </c>
      <c r="S47" s="2">
        <f t="shared" si="1"/>
        <v>4640</v>
      </c>
    </row>
    <row r="48" spans="1:19" x14ac:dyDescent="0.3">
      <c r="A48" s="3" t="s">
        <v>106</v>
      </c>
      <c r="B48" s="1">
        <v>44544</v>
      </c>
      <c r="C48">
        <v>14</v>
      </c>
      <c r="D48" t="s">
        <v>20</v>
      </c>
      <c r="E48">
        <v>2021</v>
      </c>
      <c r="F48">
        <v>32</v>
      </c>
      <c r="G48" s="8" t="s">
        <v>36</v>
      </c>
      <c r="H48" t="s">
        <v>28</v>
      </c>
      <c r="I48" t="s">
        <v>23</v>
      </c>
      <c r="J48" t="s">
        <v>24</v>
      </c>
      <c r="K48" t="s">
        <v>25</v>
      </c>
      <c r="L48" t="s">
        <v>26</v>
      </c>
      <c r="M48" s="5" t="s">
        <v>27</v>
      </c>
      <c r="N48">
        <v>1</v>
      </c>
      <c r="O48" s="2">
        <v>1252</v>
      </c>
      <c r="P48" s="2">
        <v>2295</v>
      </c>
      <c r="Q48" s="2">
        <v>1043</v>
      </c>
      <c r="R48" s="2">
        <f t="shared" si="0"/>
        <v>1252</v>
      </c>
      <c r="S48" s="2">
        <f t="shared" si="1"/>
        <v>2295</v>
      </c>
    </row>
    <row r="49" spans="1:19" x14ac:dyDescent="0.3">
      <c r="A49" s="3" t="s">
        <v>107</v>
      </c>
      <c r="B49" s="1">
        <v>44544</v>
      </c>
      <c r="C49">
        <v>14</v>
      </c>
      <c r="D49" t="s">
        <v>20</v>
      </c>
      <c r="E49">
        <v>2021</v>
      </c>
      <c r="F49">
        <v>32</v>
      </c>
      <c r="G49" s="8" t="s">
        <v>36</v>
      </c>
      <c r="H49" t="s">
        <v>22</v>
      </c>
      <c r="I49" t="s">
        <v>37</v>
      </c>
      <c r="J49" t="s">
        <v>76</v>
      </c>
      <c r="K49" t="s">
        <v>25</v>
      </c>
      <c r="L49" t="s">
        <v>26</v>
      </c>
      <c r="M49" s="5" t="s">
        <v>34</v>
      </c>
      <c r="N49">
        <v>1</v>
      </c>
      <c r="O49" s="2">
        <v>420</v>
      </c>
      <c r="P49" s="2">
        <v>769</v>
      </c>
      <c r="Q49" s="2">
        <v>349</v>
      </c>
      <c r="R49" s="2">
        <f t="shared" si="0"/>
        <v>420</v>
      </c>
      <c r="S49" s="2">
        <f t="shared" si="1"/>
        <v>769</v>
      </c>
    </row>
    <row r="50" spans="1:19" x14ac:dyDescent="0.3">
      <c r="A50" s="3" t="s">
        <v>108</v>
      </c>
      <c r="B50" s="1">
        <v>44545</v>
      </c>
      <c r="C50">
        <v>15</v>
      </c>
      <c r="D50" t="s">
        <v>20</v>
      </c>
      <c r="E50">
        <v>2021</v>
      </c>
      <c r="F50">
        <v>29</v>
      </c>
      <c r="G50" s="8" t="s">
        <v>36</v>
      </c>
      <c r="H50" t="s">
        <v>22</v>
      </c>
      <c r="I50" t="s">
        <v>23</v>
      </c>
      <c r="J50" t="s">
        <v>24</v>
      </c>
      <c r="K50" t="s">
        <v>25</v>
      </c>
      <c r="L50" t="s">
        <v>26</v>
      </c>
      <c r="M50" s="5" t="s">
        <v>31</v>
      </c>
      <c r="N50">
        <v>1</v>
      </c>
      <c r="O50" s="2">
        <v>1266</v>
      </c>
      <c r="P50" s="2">
        <v>2320</v>
      </c>
      <c r="Q50" s="2">
        <v>1054</v>
      </c>
      <c r="R50" s="2">
        <f t="shared" si="0"/>
        <v>1266</v>
      </c>
      <c r="S50" s="2">
        <f t="shared" si="1"/>
        <v>2320</v>
      </c>
    </row>
    <row r="51" spans="1:19" x14ac:dyDescent="0.3">
      <c r="A51" s="3" t="s">
        <v>109</v>
      </c>
      <c r="B51" s="1">
        <v>44546</v>
      </c>
      <c r="C51">
        <v>16</v>
      </c>
      <c r="D51" t="s">
        <v>20</v>
      </c>
      <c r="E51">
        <v>2021</v>
      </c>
      <c r="F51">
        <v>33</v>
      </c>
      <c r="G51" s="8" t="s">
        <v>36</v>
      </c>
      <c r="H51" t="s">
        <v>22</v>
      </c>
      <c r="I51" t="s">
        <v>37</v>
      </c>
      <c r="J51" t="s">
        <v>38</v>
      </c>
      <c r="K51" t="s">
        <v>25</v>
      </c>
      <c r="L51" t="s">
        <v>26</v>
      </c>
      <c r="M51" s="5" t="s">
        <v>44</v>
      </c>
      <c r="N51">
        <v>2</v>
      </c>
      <c r="O51" s="2">
        <v>1252</v>
      </c>
      <c r="P51" s="2">
        <v>2295</v>
      </c>
      <c r="Q51" s="2">
        <v>2086</v>
      </c>
      <c r="R51" s="2">
        <f t="shared" si="0"/>
        <v>2504</v>
      </c>
      <c r="S51" s="2">
        <f t="shared" si="1"/>
        <v>4590</v>
      </c>
    </row>
    <row r="52" spans="1:19" x14ac:dyDescent="0.3">
      <c r="A52" s="3" t="s">
        <v>110</v>
      </c>
      <c r="B52" s="1">
        <v>44546</v>
      </c>
      <c r="C52">
        <v>16</v>
      </c>
      <c r="D52" t="s">
        <v>20</v>
      </c>
      <c r="E52">
        <v>2021</v>
      </c>
      <c r="F52">
        <v>38</v>
      </c>
      <c r="G52" s="8" t="s">
        <v>21</v>
      </c>
      <c r="H52" t="s">
        <v>28</v>
      </c>
      <c r="I52" t="s">
        <v>37</v>
      </c>
      <c r="J52" t="s">
        <v>38</v>
      </c>
      <c r="K52" t="s">
        <v>25</v>
      </c>
      <c r="L52" t="s">
        <v>26</v>
      </c>
      <c r="M52" s="5" t="s">
        <v>44</v>
      </c>
      <c r="N52">
        <v>2</v>
      </c>
      <c r="O52" s="2">
        <v>1252</v>
      </c>
      <c r="P52" s="2">
        <v>2295</v>
      </c>
      <c r="Q52" s="2">
        <v>2086</v>
      </c>
      <c r="R52" s="2">
        <f t="shared" si="0"/>
        <v>2504</v>
      </c>
      <c r="S52" s="2">
        <f t="shared" si="1"/>
        <v>4590</v>
      </c>
    </row>
    <row r="53" spans="1:19" x14ac:dyDescent="0.3">
      <c r="A53" s="3" t="s">
        <v>111</v>
      </c>
      <c r="B53" s="1">
        <v>44546</v>
      </c>
      <c r="C53">
        <v>16</v>
      </c>
      <c r="D53" t="s">
        <v>20</v>
      </c>
      <c r="E53">
        <v>2021</v>
      </c>
      <c r="F53">
        <v>27</v>
      </c>
      <c r="G53" s="8" t="s">
        <v>36</v>
      </c>
      <c r="H53" t="s">
        <v>22</v>
      </c>
      <c r="I53" t="s">
        <v>89</v>
      </c>
      <c r="J53" t="s">
        <v>112</v>
      </c>
      <c r="K53" t="s">
        <v>25</v>
      </c>
      <c r="L53" t="s">
        <v>26</v>
      </c>
      <c r="M53" s="5" t="s">
        <v>113</v>
      </c>
      <c r="N53">
        <v>1</v>
      </c>
      <c r="O53" s="2">
        <v>1266</v>
      </c>
      <c r="P53" s="2">
        <v>2320</v>
      </c>
      <c r="Q53" s="2">
        <v>1054</v>
      </c>
      <c r="R53" s="2">
        <f t="shared" si="0"/>
        <v>1266</v>
      </c>
      <c r="S53" s="2">
        <f t="shared" si="1"/>
        <v>2320</v>
      </c>
    </row>
    <row r="54" spans="1:19" x14ac:dyDescent="0.3">
      <c r="A54" s="3" t="s">
        <v>114</v>
      </c>
      <c r="B54" s="1">
        <v>44547</v>
      </c>
      <c r="C54">
        <v>17</v>
      </c>
      <c r="D54" t="s">
        <v>20</v>
      </c>
      <c r="E54">
        <v>2021</v>
      </c>
      <c r="F54">
        <v>37</v>
      </c>
      <c r="G54" s="8" t="s">
        <v>21</v>
      </c>
      <c r="H54" t="s">
        <v>22</v>
      </c>
      <c r="I54" t="s">
        <v>23</v>
      </c>
      <c r="J54" t="s">
        <v>47</v>
      </c>
      <c r="K54" t="s">
        <v>25</v>
      </c>
      <c r="L54" t="s">
        <v>26</v>
      </c>
      <c r="M54" s="5" t="s">
        <v>55</v>
      </c>
      <c r="N54">
        <v>2</v>
      </c>
      <c r="O54" s="2">
        <v>1266</v>
      </c>
      <c r="P54" s="2">
        <v>2320</v>
      </c>
      <c r="Q54" s="2">
        <v>2108</v>
      </c>
      <c r="R54" s="2">
        <f t="shared" si="0"/>
        <v>2532</v>
      </c>
      <c r="S54" s="2">
        <f t="shared" si="1"/>
        <v>4640</v>
      </c>
    </row>
    <row r="55" spans="1:19" x14ac:dyDescent="0.3">
      <c r="A55" s="3" t="s">
        <v>115</v>
      </c>
      <c r="B55" s="1">
        <v>44547</v>
      </c>
      <c r="C55">
        <v>17</v>
      </c>
      <c r="D55" t="s">
        <v>20</v>
      </c>
      <c r="E55">
        <v>2021</v>
      </c>
      <c r="F55">
        <v>31</v>
      </c>
      <c r="G55" s="8" t="s">
        <v>36</v>
      </c>
      <c r="H55" t="s">
        <v>28</v>
      </c>
      <c r="I55" t="s">
        <v>37</v>
      </c>
      <c r="J55" t="s">
        <v>38</v>
      </c>
      <c r="K55" t="s">
        <v>25</v>
      </c>
      <c r="L55" t="s">
        <v>26</v>
      </c>
      <c r="M55" s="5" t="s">
        <v>39</v>
      </c>
      <c r="N55">
        <v>1</v>
      </c>
      <c r="O55" s="2">
        <v>420</v>
      </c>
      <c r="P55" s="2">
        <v>769</v>
      </c>
      <c r="Q55" s="2">
        <v>349</v>
      </c>
      <c r="R55" s="2">
        <f t="shared" si="0"/>
        <v>420</v>
      </c>
      <c r="S55" s="2">
        <f t="shared" si="1"/>
        <v>769</v>
      </c>
    </row>
    <row r="56" spans="1:19" x14ac:dyDescent="0.3">
      <c r="A56" s="3" t="s">
        <v>116</v>
      </c>
      <c r="B56" s="1">
        <v>44547</v>
      </c>
      <c r="C56">
        <v>17</v>
      </c>
      <c r="D56" t="s">
        <v>20</v>
      </c>
      <c r="E56">
        <v>2021</v>
      </c>
      <c r="F56">
        <v>42</v>
      </c>
      <c r="G56" s="8" t="s">
        <v>21</v>
      </c>
      <c r="H56" t="s">
        <v>22</v>
      </c>
      <c r="I56" t="s">
        <v>51</v>
      </c>
      <c r="J56" t="s">
        <v>52</v>
      </c>
      <c r="K56" t="s">
        <v>25</v>
      </c>
      <c r="L56" t="s">
        <v>26</v>
      </c>
      <c r="M56" s="5" t="s">
        <v>113</v>
      </c>
      <c r="N56">
        <v>1</v>
      </c>
      <c r="O56" s="2">
        <v>1266</v>
      </c>
      <c r="P56" s="2">
        <v>2320</v>
      </c>
      <c r="Q56" s="2">
        <v>1054</v>
      </c>
      <c r="R56" s="2">
        <f t="shared" si="0"/>
        <v>1266</v>
      </c>
      <c r="S56" s="2">
        <f t="shared" si="1"/>
        <v>2320</v>
      </c>
    </row>
    <row r="57" spans="1:19" x14ac:dyDescent="0.3">
      <c r="A57" s="3" t="s">
        <v>117</v>
      </c>
      <c r="B57" s="1">
        <v>44548</v>
      </c>
      <c r="C57">
        <v>18</v>
      </c>
      <c r="D57" t="s">
        <v>20</v>
      </c>
      <c r="E57">
        <v>2021</v>
      </c>
      <c r="F57">
        <v>35</v>
      </c>
      <c r="G57" s="8" t="s">
        <v>21</v>
      </c>
      <c r="H57" t="s">
        <v>22</v>
      </c>
      <c r="I57" t="s">
        <v>37</v>
      </c>
      <c r="J57" t="s">
        <v>38</v>
      </c>
      <c r="K57" t="s">
        <v>25</v>
      </c>
      <c r="L57" t="s">
        <v>26</v>
      </c>
      <c r="M57" s="5" t="s">
        <v>69</v>
      </c>
      <c r="N57">
        <v>4</v>
      </c>
      <c r="O57" s="2">
        <v>308</v>
      </c>
      <c r="P57" s="2">
        <v>565</v>
      </c>
      <c r="Q57" s="2">
        <v>1028</v>
      </c>
      <c r="R57" s="2">
        <f t="shared" si="0"/>
        <v>1232</v>
      </c>
      <c r="S57" s="2">
        <f t="shared" si="1"/>
        <v>2260</v>
      </c>
    </row>
    <row r="58" spans="1:19" x14ac:dyDescent="0.3">
      <c r="A58" s="3" t="s">
        <v>118</v>
      </c>
      <c r="B58" s="1">
        <v>44548</v>
      </c>
      <c r="C58">
        <v>18</v>
      </c>
      <c r="D58" t="s">
        <v>20</v>
      </c>
      <c r="E58">
        <v>2021</v>
      </c>
      <c r="F58">
        <v>38</v>
      </c>
      <c r="G58" s="8" t="s">
        <v>21</v>
      </c>
      <c r="H58" t="s">
        <v>22</v>
      </c>
      <c r="I58" t="s">
        <v>51</v>
      </c>
      <c r="J58" t="s">
        <v>52</v>
      </c>
      <c r="K58" t="s">
        <v>25</v>
      </c>
      <c r="L58" t="s">
        <v>26</v>
      </c>
      <c r="M58" s="5" t="s">
        <v>113</v>
      </c>
      <c r="N58">
        <v>4</v>
      </c>
      <c r="O58" s="2">
        <v>1266</v>
      </c>
      <c r="P58" s="2">
        <v>2320</v>
      </c>
      <c r="Q58" s="2">
        <v>4216</v>
      </c>
      <c r="R58" s="2">
        <f t="shared" si="0"/>
        <v>5064</v>
      </c>
      <c r="S58" s="2">
        <f t="shared" si="1"/>
        <v>9280</v>
      </c>
    </row>
    <row r="59" spans="1:19" x14ac:dyDescent="0.3">
      <c r="A59" s="3" t="s">
        <v>119</v>
      </c>
      <c r="B59" s="1">
        <v>44548</v>
      </c>
      <c r="C59">
        <v>18</v>
      </c>
      <c r="D59" t="s">
        <v>20</v>
      </c>
      <c r="E59">
        <v>2021</v>
      </c>
      <c r="F59">
        <v>24</v>
      </c>
      <c r="G59" s="8" t="s">
        <v>43</v>
      </c>
      <c r="H59" t="s">
        <v>22</v>
      </c>
      <c r="I59" t="s">
        <v>89</v>
      </c>
      <c r="J59" t="s">
        <v>120</v>
      </c>
      <c r="K59" t="s">
        <v>25</v>
      </c>
      <c r="L59" t="s">
        <v>26</v>
      </c>
      <c r="M59" s="5" t="s">
        <v>55</v>
      </c>
      <c r="N59">
        <v>3</v>
      </c>
      <c r="O59" s="2">
        <v>1266</v>
      </c>
      <c r="P59" s="2">
        <v>2320</v>
      </c>
      <c r="Q59" s="2">
        <v>3162</v>
      </c>
      <c r="R59" s="2">
        <f t="shared" si="0"/>
        <v>3798</v>
      </c>
      <c r="S59" s="2">
        <f t="shared" si="1"/>
        <v>6960</v>
      </c>
    </row>
    <row r="60" spans="1:19" x14ac:dyDescent="0.3">
      <c r="A60" s="3" t="s">
        <v>121</v>
      </c>
      <c r="B60" s="1">
        <v>44548</v>
      </c>
      <c r="C60">
        <v>18</v>
      </c>
      <c r="D60" t="s">
        <v>20</v>
      </c>
      <c r="E60">
        <v>2021</v>
      </c>
      <c r="F60">
        <v>26</v>
      </c>
      <c r="G60" s="8" t="s">
        <v>36</v>
      </c>
      <c r="H60" t="s">
        <v>22</v>
      </c>
      <c r="I60" t="s">
        <v>29</v>
      </c>
      <c r="J60" t="s">
        <v>30</v>
      </c>
      <c r="K60" t="s">
        <v>25</v>
      </c>
      <c r="L60" t="s">
        <v>26</v>
      </c>
      <c r="M60" s="5" t="s">
        <v>39</v>
      </c>
      <c r="N60">
        <v>3</v>
      </c>
      <c r="O60" s="2">
        <v>420</v>
      </c>
      <c r="P60" s="2">
        <v>769</v>
      </c>
      <c r="Q60" s="2">
        <v>1047</v>
      </c>
      <c r="R60" s="2">
        <f t="shared" si="0"/>
        <v>1260</v>
      </c>
      <c r="S60" s="2">
        <f t="shared" si="1"/>
        <v>2307</v>
      </c>
    </row>
    <row r="61" spans="1:19" x14ac:dyDescent="0.3">
      <c r="A61" s="3" t="s">
        <v>122</v>
      </c>
      <c r="B61" s="1">
        <v>44548</v>
      </c>
      <c r="C61">
        <v>18</v>
      </c>
      <c r="D61" t="s">
        <v>20</v>
      </c>
      <c r="E61">
        <v>2021</v>
      </c>
      <c r="F61">
        <v>39</v>
      </c>
      <c r="G61" s="8" t="s">
        <v>21</v>
      </c>
      <c r="H61" t="s">
        <v>28</v>
      </c>
      <c r="I61" t="s">
        <v>23</v>
      </c>
      <c r="J61" t="s">
        <v>24</v>
      </c>
      <c r="K61" t="s">
        <v>25</v>
      </c>
      <c r="L61" t="s">
        <v>26</v>
      </c>
      <c r="M61" s="5" t="s">
        <v>62</v>
      </c>
      <c r="N61">
        <v>3</v>
      </c>
      <c r="O61" s="2">
        <v>1252</v>
      </c>
      <c r="P61" s="2">
        <v>2295</v>
      </c>
      <c r="Q61" s="2">
        <v>3129</v>
      </c>
      <c r="R61" s="2">
        <f t="shared" si="0"/>
        <v>3756</v>
      </c>
      <c r="S61" s="2">
        <f t="shared" si="1"/>
        <v>6885</v>
      </c>
    </row>
    <row r="62" spans="1:19" x14ac:dyDescent="0.3">
      <c r="A62" s="3" t="s">
        <v>123</v>
      </c>
      <c r="B62" s="1">
        <v>44548</v>
      </c>
      <c r="C62">
        <v>18</v>
      </c>
      <c r="D62" t="s">
        <v>20</v>
      </c>
      <c r="E62">
        <v>2021</v>
      </c>
      <c r="F62">
        <v>26</v>
      </c>
      <c r="G62" s="8" t="s">
        <v>36</v>
      </c>
      <c r="H62" t="s">
        <v>28</v>
      </c>
      <c r="I62" t="s">
        <v>89</v>
      </c>
      <c r="J62" t="s">
        <v>90</v>
      </c>
      <c r="K62" t="s">
        <v>25</v>
      </c>
      <c r="L62" t="s">
        <v>26</v>
      </c>
      <c r="M62" s="5" t="s">
        <v>27</v>
      </c>
      <c r="N62">
        <v>1</v>
      </c>
      <c r="O62" s="2">
        <v>1252</v>
      </c>
      <c r="P62" s="2">
        <v>2295</v>
      </c>
      <c r="Q62" s="2">
        <v>1043</v>
      </c>
      <c r="R62" s="2">
        <f t="shared" si="0"/>
        <v>1252</v>
      </c>
      <c r="S62" s="2">
        <f t="shared" si="1"/>
        <v>2295</v>
      </c>
    </row>
    <row r="63" spans="1:19" x14ac:dyDescent="0.3">
      <c r="A63" s="3" t="s">
        <v>124</v>
      </c>
      <c r="B63" s="1">
        <v>44548</v>
      </c>
      <c r="C63">
        <v>18</v>
      </c>
      <c r="D63" t="s">
        <v>20</v>
      </c>
      <c r="E63">
        <v>2021</v>
      </c>
      <c r="F63">
        <v>36</v>
      </c>
      <c r="G63" s="8" t="s">
        <v>21</v>
      </c>
      <c r="H63" t="s">
        <v>28</v>
      </c>
      <c r="I63" t="s">
        <v>23</v>
      </c>
      <c r="J63" t="s">
        <v>47</v>
      </c>
      <c r="K63" t="s">
        <v>25</v>
      </c>
      <c r="L63" t="s">
        <v>26</v>
      </c>
      <c r="M63" s="5" t="s">
        <v>55</v>
      </c>
      <c r="N63">
        <v>1</v>
      </c>
      <c r="O63" s="2">
        <v>1266</v>
      </c>
      <c r="P63" s="2">
        <v>2320</v>
      </c>
      <c r="Q63" s="2">
        <v>1054</v>
      </c>
      <c r="R63" s="2">
        <f t="shared" si="0"/>
        <v>1266</v>
      </c>
      <c r="S63" s="2">
        <f t="shared" si="1"/>
        <v>2320</v>
      </c>
    </row>
    <row r="64" spans="1:19" x14ac:dyDescent="0.3">
      <c r="A64" s="3" t="s">
        <v>125</v>
      </c>
      <c r="B64" s="1">
        <v>44549</v>
      </c>
      <c r="C64">
        <v>19</v>
      </c>
      <c r="D64" t="s">
        <v>20</v>
      </c>
      <c r="E64">
        <v>2021</v>
      </c>
      <c r="F64">
        <v>17</v>
      </c>
      <c r="G64" s="8" t="s">
        <v>43</v>
      </c>
      <c r="H64" t="s">
        <v>28</v>
      </c>
      <c r="I64" t="s">
        <v>89</v>
      </c>
      <c r="J64" t="s">
        <v>126</v>
      </c>
      <c r="K64" t="s">
        <v>25</v>
      </c>
      <c r="L64" t="s">
        <v>26</v>
      </c>
      <c r="M64" s="5" t="s">
        <v>113</v>
      </c>
      <c r="N64">
        <v>4</v>
      </c>
      <c r="O64" s="2">
        <v>1266</v>
      </c>
      <c r="P64" s="2">
        <v>2320</v>
      </c>
      <c r="Q64" s="2">
        <v>4216</v>
      </c>
      <c r="R64" s="2">
        <f t="shared" si="0"/>
        <v>5064</v>
      </c>
      <c r="S64" s="2">
        <f t="shared" si="1"/>
        <v>9280</v>
      </c>
    </row>
    <row r="65" spans="1:19" x14ac:dyDescent="0.3">
      <c r="A65" s="3" t="s">
        <v>127</v>
      </c>
      <c r="B65" s="1">
        <v>44549</v>
      </c>
      <c r="C65">
        <v>19</v>
      </c>
      <c r="D65" t="s">
        <v>20</v>
      </c>
      <c r="E65">
        <v>2021</v>
      </c>
      <c r="F65">
        <v>19</v>
      </c>
      <c r="G65" s="8" t="s">
        <v>43</v>
      </c>
      <c r="H65" t="s">
        <v>22</v>
      </c>
      <c r="I65" t="s">
        <v>37</v>
      </c>
      <c r="J65" t="s">
        <v>76</v>
      </c>
      <c r="K65" t="s">
        <v>25</v>
      </c>
      <c r="L65" t="s">
        <v>26</v>
      </c>
      <c r="M65" s="5" t="s">
        <v>128</v>
      </c>
      <c r="N65">
        <v>4</v>
      </c>
      <c r="O65" s="2">
        <v>295</v>
      </c>
      <c r="P65" s="2">
        <v>540</v>
      </c>
      <c r="Q65" s="2">
        <v>980</v>
      </c>
      <c r="R65" s="2">
        <f t="shared" si="0"/>
        <v>1180</v>
      </c>
      <c r="S65" s="2">
        <f t="shared" si="1"/>
        <v>2160</v>
      </c>
    </row>
    <row r="66" spans="1:19" x14ac:dyDescent="0.3">
      <c r="A66" s="3" t="s">
        <v>129</v>
      </c>
      <c r="B66" s="1">
        <v>44549</v>
      </c>
      <c r="C66">
        <v>19</v>
      </c>
      <c r="D66" t="s">
        <v>20</v>
      </c>
      <c r="E66">
        <v>2021</v>
      </c>
      <c r="F66">
        <v>25</v>
      </c>
      <c r="G66" s="8" t="s">
        <v>36</v>
      </c>
      <c r="H66" t="s">
        <v>28</v>
      </c>
      <c r="I66" t="s">
        <v>89</v>
      </c>
      <c r="J66" t="s">
        <v>90</v>
      </c>
      <c r="K66" t="s">
        <v>25</v>
      </c>
      <c r="L66" t="s">
        <v>26</v>
      </c>
      <c r="M66" s="5" t="s">
        <v>44</v>
      </c>
      <c r="N66">
        <v>4</v>
      </c>
      <c r="O66" s="2">
        <v>1252</v>
      </c>
      <c r="P66" s="2">
        <v>2295</v>
      </c>
      <c r="Q66" s="2">
        <v>4172</v>
      </c>
      <c r="R66" s="2">
        <f t="shared" si="0"/>
        <v>5008</v>
      </c>
      <c r="S66" s="2">
        <f t="shared" si="1"/>
        <v>9180</v>
      </c>
    </row>
    <row r="67" spans="1:19" x14ac:dyDescent="0.3">
      <c r="A67" s="3" t="s">
        <v>130</v>
      </c>
      <c r="B67" s="1">
        <v>44549</v>
      </c>
      <c r="C67">
        <v>19</v>
      </c>
      <c r="D67" t="s">
        <v>20</v>
      </c>
      <c r="E67">
        <v>2021</v>
      </c>
      <c r="F67">
        <v>35</v>
      </c>
      <c r="G67" s="8" t="s">
        <v>21</v>
      </c>
      <c r="H67" t="s">
        <v>22</v>
      </c>
      <c r="I67" t="s">
        <v>23</v>
      </c>
      <c r="J67" t="s">
        <v>72</v>
      </c>
      <c r="K67" t="s">
        <v>25</v>
      </c>
      <c r="L67" t="s">
        <v>26</v>
      </c>
      <c r="M67" s="5" t="s">
        <v>131</v>
      </c>
      <c r="N67">
        <v>4</v>
      </c>
      <c r="O67" s="2">
        <v>1898</v>
      </c>
      <c r="P67" s="2">
        <v>3375</v>
      </c>
      <c r="Q67" s="2">
        <v>5908</v>
      </c>
      <c r="R67" s="2">
        <f t="shared" si="0"/>
        <v>7592</v>
      </c>
      <c r="S67" s="2">
        <f t="shared" si="1"/>
        <v>13500</v>
      </c>
    </row>
    <row r="68" spans="1:19" x14ac:dyDescent="0.3">
      <c r="A68" s="3" t="s">
        <v>132</v>
      </c>
      <c r="B68" s="1">
        <v>44549</v>
      </c>
      <c r="C68">
        <v>19</v>
      </c>
      <c r="D68" t="s">
        <v>20</v>
      </c>
      <c r="E68">
        <v>2021</v>
      </c>
      <c r="F68">
        <v>37</v>
      </c>
      <c r="G68" s="8" t="s">
        <v>21</v>
      </c>
      <c r="H68" t="s">
        <v>28</v>
      </c>
      <c r="I68" t="s">
        <v>23</v>
      </c>
      <c r="J68" t="s">
        <v>72</v>
      </c>
      <c r="K68" t="s">
        <v>25</v>
      </c>
      <c r="L68" t="s">
        <v>26</v>
      </c>
      <c r="M68" s="5" t="s">
        <v>44</v>
      </c>
      <c r="N68">
        <v>4</v>
      </c>
      <c r="O68" s="2">
        <v>1252</v>
      </c>
      <c r="P68" s="2">
        <v>2295</v>
      </c>
      <c r="Q68" s="2">
        <v>4172</v>
      </c>
      <c r="R68" s="2">
        <f t="shared" ref="R68:R90" si="4">N68*O68</f>
        <v>5008</v>
      </c>
      <c r="S68" s="2">
        <f t="shared" ref="S68:S90" si="5">N68*P68</f>
        <v>9180</v>
      </c>
    </row>
    <row r="69" spans="1:19" x14ac:dyDescent="0.3">
      <c r="A69" s="3" t="s">
        <v>133</v>
      </c>
      <c r="B69" s="1">
        <v>44549</v>
      </c>
      <c r="C69">
        <v>19</v>
      </c>
      <c r="D69" t="s">
        <v>20</v>
      </c>
      <c r="E69">
        <v>2021</v>
      </c>
      <c r="F69">
        <v>39</v>
      </c>
      <c r="G69" s="8" t="s">
        <v>21</v>
      </c>
      <c r="H69" t="s">
        <v>22</v>
      </c>
      <c r="I69" t="s">
        <v>23</v>
      </c>
      <c r="J69" t="s">
        <v>24</v>
      </c>
      <c r="K69" t="s">
        <v>25</v>
      </c>
      <c r="L69" t="s">
        <v>26</v>
      </c>
      <c r="M69" s="5" t="s">
        <v>27</v>
      </c>
      <c r="N69">
        <v>4</v>
      </c>
      <c r="O69" s="2">
        <v>1252</v>
      </c>
      <c r="P69" s="2">
        <v>2295</v>
      </c>
      <c r="Q69" s="2">
        <v>4172</v>
      </c>
      <c r="R69" s="2">
        <f t="shared" si="4"/>
        <v>5008</v>
      </c>
      <c r="S69" s="2">
        <f t="shared" si="5"/>
        <v>9180</v>
      </c>
    </row>
    <row r="70" spans="1:19" x14ac:dyDescent="0.3">
      <c r="A70" s="3" t="s">
        <v>134</v>
      </c>
      <c r="B70" s="1">
        <v>44549</v>
      </c>
      <c r="C70">
        <v>19</v>
      </c>
      <c r="D70" t="s">
        <v>20</v>
      </c>
      <c r="E70">
        <v>2021</v>
      </c>
      <c r="F70">
        <v>63</v>
      </c>
      <c r="G70" s="8" t="s">
        <v>21</v>
      </c>
      <c r="H70" t="s">
        <v>22</v>
      </c>
      <c r="I70" t="s">
        <v>37</v>
      </c>
      <c r="J70" t="s">
        <v>54</v>
      </c>
      <c r="K70" t="s">
        <v>25</v>
      </c>
      <c r="L70" t="s">
        <v>26</v>
      </c>
      <c r="M70" s="5" t="s">
        <v>27</v>
      </c>
      <c r="N70">
        <v>4</v>
      </c>
      <c r="O70" s="2">
        <v>1252</v>
      </c>
      <c r="P70" s="2">
        <v>2295</v>
      </c>
      <c r="Q70" s="2">
        <v>4172</v>
      </c>
      <c r="R70" s="2">
        <f t="shared" si="4"/>
        <v>5008</v>
      </c>
      <c r="S70" s="2">
        <f t="shared" si="5"/>
        <v>9180</v>
      </c>
    </row>
    <row r="71" spans="1:19" x14ac:dyDescent="0.3">
      <c r="A71" s="3" t="s">
        <v>135</v>
      </c>
      <c r="B71" s="1">
        <v>44549</v>
      </c>
      <c r="C71">
        <v>19</v>
      </c>
      <c r="D71" t="s">
        <v>20</v>
      </c>
      <c r="E71">
        <v>2021</v>
      </c>
      <c r="F71">
        <v>18</v>
      </c>
      <c r="G71" s="8" t="s">
        <v>43</v>
      </c>
      <c r="H71" t="s">
        <v>28</v>
      </c>
      <c r="I71" t="s">
        <v>37</v>
      </c>
      <c r="J71" t="s">
        <v>136</v>
      </c>
      <c r="K71" t="s">
        <v>25</v>
      </c>
      <c r="L71" t="s">
        <v>26</v>
      </c>
      <c r="M71" s="5" t="s">
        <v>84</v>
      </c>
      <c r="N71">
        <v>2</v>
      </c>
      <c r="O71" s="2">
        <v>295</v>
      </c>
      <c r="P71" s="2">
        <v>540</v>
      </c>
      <c r="Q71" s="2">
        <v>490</v>
      </c>
      <c r="R71" s="2">
        <f t="shared" si="4"/>
        <v>590</v>
      </c>
      <c r="S71" s="2">
        <f t="shared" si="5"/>
        <v>1080</v>
      </c>
    </row>
    <row r="72" spans="1:19" x14ac:dyDescent="0.3">
      <c r="A72" s="3" t="s">
        <v>137</v>
      </c>
      <c r="B72" s="1">
        <v>44549</v>
      </c>
      <c r="C72">
        <v>19</v>
      </c>
      <c r="D72" t="s">
        <v>20</v>
      </c>
      <c r="E72">
        <v>2021</v>
      </c>
      <c r="F72">
        <v>56</v>
      </c>
      <c r="G72" s="8" t="s">
        <v>21</v>
      </c>
      <c r="H72" t="s">
        <v>22</v>
      </c>
      <c r="I72" t="s">
        <v>51</v>
      </c>
      <c r="J72" t="s">
        <v>138</v>
      </c>
      <c r="K72" t="s">
        <v>25</v>
      </c>
      <c r="L72" t="s">
        <v>26</v>
      </c>
      <c r="M72" s="5" t="s">
        <v>27</v>
      </c>
      <c r="N72">
        <v>2</v>
      </c>
      <c r="O72" s="2">
        <v>1252</v>
      </c>
      <c r="P72" s="2">
        <v>2295</v>
      </c>
      <c r="Q72" s="2">
        <v>2086</v>
      </c>
      <c r="R72" s="2">
        <f t="shared" si="4"/>
        <v>2504</v>
      </c>
      <c r="S72" s="2">
        <f t="shared" si="5"/>
        <v>4590</v>
      </c>
    </row>
    <row r="73" spans="1:19" x14ac:dyDescent="0.3">
      <c r="A73" s="3" t="s">
        <v>139</v>
      </c>
      <c r="B73" s="1">
        <v>44549</v>
      </c>
      <c r="C73">
        <v>19</v>
      </c>
      <c r="D73" t="s">
        <v>20</v>
      </c>
      <c r="E73">
        <v>2021</v>
      </c>
      <c r="F73">
        <v>39</v>
      </c>
      <c r="G73" s="8" t="s">
        <v>21</v>
      </c>
      <c r="H73" t="s">
        <v>22</v>
      </c>
      <c r="I73" t="s">
        <v>23</v>
      </c>
      <c r="J73" t="s">
        <v>47</v>
      </c>
      <c r="K73" t="s">
        <v>25</v>
      </c>
      <c r="L73" t="s">
        <v>26</v>
      </c>
      <c r="M73" s="5" t="s">
        <v>55</v>
      </c>
      <c r="N73">
        <v>1</v>
      </c>
      <c r="O73" s="2">
        <v>1266</v>
      </c>
      <c r="P73" s="2">
        <v>2320</v>
      </c>
      <c r="Q73" s="2">
        <v>1054</v>
      </c>
      <c r="R73" s="2">
        <f t="shared" si="4"/>
        <v>1266</v>
      </c>
      <c r="S73" s="2">
        <f t="shared" si="5"/>
        <v>2320</v>
      </c>
    </row>
    <row r="74" spans="1:19" x14ac:dyDescent="0.3">
      <c r="A74" s="3" t="s">
        <v>140</v>
      </c>
      <c r="B74" s="1">
        <v>44550</v>
      </c>
      <c r="C74">
        <v>20</v>
      </c>
      <c r="D74" t="s">
        <v>20</v>
      </c>
      <c r="E74">
        <v>2021</v>
      </c>
      <c r="F74">
        <v>33</v>
      </c>
      <c r="G74" s="8" t="s">
        <v>36</v>
      </c>
      <c r="H74" t="s">
        <v>22</v>
      </c>
      <c r="I74" t="s">
        <v>37</v>
      </c>
      <c r="J74" t="s">
        <v>76</v>
      </c>
      <c r="K74" t="s">
        <v>25</v>
      </c>
      <c r="L74" t="s">
        <v>26</v>
      </c>
      <c r="M74" s="5" t="s">
        <v>77</v>
      </c>
      <c r="N74">
        <v>4</v>
      </c>
      <c r="O74" s="2">
        <v>1898</v>
      </c>
      <c r="P74" s="2">
        <v>3375</v>
      </c>
      <c r="Q74" s="2">
        <v>5908</v>
      </c>
      <c r="R74" s="2">
        <f t="shared" si="4"/>
        <v>7592</v>
      </c>
      <c r="S74" s="2">
        <f t="shared" si="5"/>
        <v>13500</v>
      </c>
    </row>
    <row r="75" spans="1:19" x14ac:dyDescent="0.3">
      <c r="A75" s="3" t="s">
        <v>141</v>
      </c>
      <c r="B75" s="1">
        <v>44550</v>
      </c>
      <c r="C75">
        <v>20</v>
      </c>
      <c r="D75" t="s">
        <v>20</v>
      </c>
      <c r="E75">
        <v>2021</v>
      </c>
      <c r="F75">
        <v>57</v>
      </c>
      <c r="G75" s="8" t="s">
        <v>21</v>
      </c>
      <c r="H75" t="s">
        <v>28</v>
      </c>
      <c r="I75" t="s">
        <v>37</v>
      </c>
      <c r="J75" t="s">
        <v>54</v>
      </c>
      <c r="K75" t="s">
        <v>25</v>
      </c>
      <c r="L75" t="s">
        <v>26</v>
      </c>
      <c r="M75" s="5" t="s">
        <v>27</v>
      </c>
      <c r="N75">
        <v>4</v>
      </c>
      <c r="O75" s="2">
        <v>1252</v>
      </c>
      <c r="P75" s="2">
        <v>2295</v>
      </c>
      <c r="Q75" s="2">
        <v>4172</v>
      </c>
      <c r="R75" s="2">
        <f t="shared" si="4"/>
        <v>5008</v>
      </c>
      <c r="S75" s="2">
        <f t="shared" si="5"/>
        <v>9180</v>
      </c>
    </row>
    <row r="76" spans="1:19" x14ac:dyDescent="0.3">
      <c r="A76" s="3" t="s">
        <v>142</v>
      </c>
      <c r="B76" s="1">
        <v>44550</v>
      </c>
      <c r="C76">
        <v>20</v>
      </c>
      <c r="D76" t="s">
        <v>20</v>
      </c>
      <c r="E76">
        <v>2021</v>
      </c>
      <c r="F76">
        <v>29</v>
      </c>
      <c r="G76" s="8" t="s">
        <v>36</v>
      </c>
      <c r="H76" t="s">
        <v>28</v>
      </c>
      <c r="I76" t="s">
        <v>59</v>
      </c>
      <c r="J76" t="s">
        <v>60</v>
      </c>
      <c r="K76" t="s">
        <v>25</v>
      </c>
      <c r="L76" t="s">
        <v>26</v>
      </c>
      <c r="M76" s="5" t="s">
        <v>143</v>
      </c>
      <c r="N76">
        <v>3</v>
      </c>
      <c r="O76" s="2">
        <v>295</v>
      </c>
      <c r="P76" s="2">
        <v>540</v>
      </c>
      <c r="Q76" s="2">
        <v>735</v>
      </c>
      <c r="R76" s="2">
        <f t="shared" si="4"/>
        <v>885</v>
      </c>
      <c r="S76" s="2">
        <f t="shared" si="5"/>
        <v>1620</v>
      </c>
    </row>
    <row r="77" spans="1:19" x14ac:dyDescent="0.3">
      <c r="A77" s="3" t="s">
        <v>144</v>
      </c>
      <c r="B77" s="1">
        <v>44550</v>
      </c>
      <c r="C77">
        <v>20</v>
      </c>
      <c r="D77" t="s">
        <v>20</v>
      </c>
      <c r="E77">
        <v>2021</v>
      </c>
      <c r="F77">
        <v>35</v>
      </c>
      <c r="G77" s="8" t="s">
        <v>21</v>
      </c>
      <c r="H77" t="s">
        <v>22</v>
      </c>
      <c r="I77" t="s">
        <v>37</v>
      </c>
      <c r="J77" t="s">
        <v>54</v>
      </c>
      <c r="K77" t="s">
        <v>25</v>
      </c>
      <c r="L77" t="s">
        <v>26</v>
      </c>
      <c r="M77" s="5" t="s">
        <v>55</v>
      </c>
      <c r="N77">
        <v>1</v>
      </c>
      <c r="O77" s="2">
        <v>1266</v>
      </c>
      <c r="P77" s="2">
        <v>2320</v>
      </c>
      <c r="Q77" s="2">
        <v>1054</v>
      </c>
      <c r="R77" s="2">
        <f t="shared" si="4"/>
        <v>1266</v>
      </c>
      <c r="S77" s="2">
        <f t="shared" si="5"/>
        <v>2320</v>
      </c>
    </row>
    <row r="78" spans="1:19" x14ac:dyDescent="0.3">
      <c r="A78" s="3" t="s">
        <v>145</v>
      </c>
      <c r="B78" s="1">
        <v>44550</v>
      </c>
      <c r="C78">
        <v>20</v>
      </c>
      <c r="D78" t="s">
        <v>20</v>
      </c>
      <c r="E78">
        <v>2021</v>
      </c>
      <c r="F78">
        <v>35</v>
      </c>
      <c r="G78" s="8" t="s">
        <v>21</v>
      </c>
      <c r="H78" t="s">
        <v>28</v>
      </c>
      <c r="I78" t="s">
        <v>37</v>
      </c>
      <c r="J78" t="s">
        <v>76</v>
      </c>
      <c r="K78" t="s">
        <v>25</v>
      </c>
      <c r="L78" t="s">
        <v>26</v>
      </c>
      <c r="M78" s="5" t="s">
        <v>55</v>
      </c>
      <c r="N78">
        <v>1</v>
      </c>
      <c r="O78" s="2">
        <v>1266</v>
      </c>
      <c r="P78" s="2">
        <v>2320</v>
      </c>
      <c r="Q78" s="2">
        <v>1054</v>
      </c>
      <c r="R78" s="2">
        <f t="shared" si="4"/>
        <v>1266</v>
      </c>
      <c r="S78" s="2">
        <f t="shared" si="5"/>
        <v>2320</v>
      </c>
    </row>
    <row r="79" spans="1:19" x14ac:dyDescent="0.3">
      <c r="A79" s="3" t="s">
        <v>146</v>
      </c>
      <c r="B79" s="1">
        <v>44551</v>
      </c>
      <c r="C79">
        <v>21</v>
      </c>
      <c r="D79" t="s">
        <v>20</v>
      </c>
      <c r="E79">
        <v>2021</v>
      </c>
      <c r="F79">
        <v>26</v>
      </c>
      <c r="G79" s="8" t="s">
        <v>36</v>
      </c>
      <c r="H79" t="s">
        <v>28</v>
      </c>
      <c r="I79" t="s">
        <v>89</v>
      </c>
      <c r="J79" t="s">
        <v>147</v>
      </c>
      <c r="K79" t="s">
        <v>25</v>
      </c>
      <c r="L79" t="s">
        <v>26</v>
      </c>
      <c r="M79" s="5" t="s">
        <v>55</v>
      </c>
      <c r="N79">
        <v>3</v>
      </c>
      <c r="O79" s="2">
        <v>1266</v>
      </c>
      <c r="P79" s="2">
        <v>2320</v>
      </c>
      <c r="Q79" s="2">
        <v>3162</v>
      </c>
      <c r="R79" s="2">
        <f t="shared" si="4"/>
        <v>3798</v>
      </c>
      <c r="S79" s="2">
        <f t="shared" si="5"/>
        <v>6960</v>
      </c>
    </row>
    <row r="80" spans="1:19" x14ac:dyDescent="0.3">
      <c r="A80" s="3" t="s">
        <v>148</v>
      </c>
      <c r="B80" s="1">
        <v>44551</v>
      </c>
      <c r="C80">
        <v>21</v>
      </c>
      <c r="D80" t="s">
        <v>20</v>
      </c>
      <c r="E80">
        <v>2021</v>
      </c>
      <c r="F80">
        <v>23</v>
      </c>
      <c r="G80" s="8" t="s">
        <v>43</v>
      </c>
      <c r="H80" t="s">
        <v>28</v>
      </c>
      <c r="I80" t="s">
        <v>29</v>
      </c>
      <c r="J80" t="s">
        <v>30</v>
      </c>
      <c r="K80" t="s">
        <v>25</v>
      </c>
      <c r="L80" t="s">
        <v>26</v>
      </c>
      <c r="M80" s="5" t="s">
        <v>34</v>
      </c>
      <c r="N80">
        <v>2</v>
      </c>
      <c r="O80" s="2">
        <v>420</v>
      </c>
      <c r="P80" s="2">
        <v>769</v>
      </c>
      <c r="Q80" s="2">
        <v>698</v>
      </c>
      <c r="R80" s="2">
        <f t="shared" si="4"/>
        <v>840</v>
      </c>
      <c r="S80" s="2">
        <f t="shared" si="5"/>
        <v>1538</v>
      </c>
    </row>
    <row r="81" spans="1:19" x14ac:dyDescent="0.3">
      <c r="A81" s="3" t="s">
        <v>149</v>
      </c>
      <c r="B81" s="1">
        <v>44552</v>
      </c>
      <c r="C81">
        <v>22</v>
      </c>
      <c r="D81" t="s">
        <v>20</v>
      </c>
      <c r="E81">
        <v>2021</v>
      </c>
      <c r="F81">
        <v>30</v>
      </c>
      <c r="G81" s="8" t="s">
        <v>36</v>
      </c>
      <c r="H81" t="s">
        <v>22</v>
      </c>
      <c r="I81" t="s">
        <v>23</v>
      </c>
      <c r="J81" t="s">
        <v>47</v>
      </c>
      <c r="K81" t="s">
        <v>25</v>
      </c>
      <c r="L81" t="s">
        <v>26</v>
      </c>
      <c r="M81" s="5" t="s">
        <v>55</v>
      </c>
      <c r="N81">
        <v>3</v>
      </c>
      <c r="O81" s="2">
        <v>1266</v>
      </c>
      <c r="P81" s="2">
        <v>2320</v>
      </c>
      <c r="Q81" s="2">
        <v>3162</v>
      </c>
      <c r="R81" s="2">
        <f t="shared" si="4"/>
        <v>3798</v>
      </c>
      <c r="S81" s="2">
        <f t="shared" si="5"/>
        <v>6960</v>
      </c>
    </row>
    <row r="82" spans="1:19" x14ac:dyDescent="0.3">
      <c r="A82" s="3" t="s">
        <v>150</v>
      </c>
      <c r="B82" s="1">
        <v>44552</v>
      </c>
      <c r="C82">
        <v>22</v>
      </c>
      <c r="D82" t="s">
        <v>20</v>
      </c>
      <c r="E82">
        <v>2021</v>
      </c>
      <c r="F82">
        <v>41</v>
      </c>
      <c r="G82" s="8" t="s">
        <v>21</v>
      </c>
      <c r="H82" t="s">
        <v>28</v>
      </c>
      <c r="I82" t="s">
        <v>23</v>
      </c>
      <c r="J82" t="s">
        <v>24</v>
      </c>
      <c r="K82" t="s">
        <v>25</v>
      </c>
      <c r="L82" t="s">
        <v>26</v>
      </c>
      <c r="M82" s="5" t="s">
        <v>62</v>
      </c>
      <c r="N82">
        <v>3</v>
      </c>
      <c r="O82" s="2">
        <v>1252</v>
      </c>
      <c r="P82" s="2">
        <v>2295</v>
      </c>
      <c r="Q82" s="2">
        <v>3129</v>
      </c>
      <c r="R82" s="2">
        <f t="shared" si="4"/>
        <v>3756</v>
      </c>
      <c r="S82" s="2">
        <f t="shared" si="5"/>
        <v>6885</v>
      </c>
    </row>
    <row r="83" spans="1:19" x14ac:dyDescent="0.3">
      <c r="A83" s="3" t="s">
        <v>151</v>
      </c>
      <c r="B83" s="1">
        <v>44552</v>
      </c>
      <c r="C83">
        <v>22</v>
      </c>
      <c r="D83" t="s">
        <v>20</v>
      </c>
      <c r="E83">
        <v>2021</v>
      </c>
      <c r="F83">
        <v>19</v>
      </c>
      <c r="G83" s="8" t="s">
        <v>43</v>
      </c>
      <c r="H83" t="s">
        <v>22</v>
      </c>
      <c r="I83" t="s">
        <v>37</v>
      </c>
      <c r="J83" t="s">
        <v>38</v>
      </c>
      <c r="K83" t="s">
        <v>25</v>
      </c>
      <c r="L83" t="s">
        <v>26</v>
      </c>
      <c r="M83" s="5" t="s">
        <v>69</v>
      </c>
      <c r="N83">
        <v>1</v>
      </c>
      <c r="O83" s="2">
        <v>308</v>
      </c>
      <c r="P83" s="2">
        <v>565</v>
      </c>
      <c r="Q83" s="2">
        <v>257</v>
      </c>
      <c r="R83" s="2">
        <f t="shared" si="4"/>
        <v>308</v>
      </c>
      <c r="S83" s="2">
        <f t="shared" si="5"/>
        <v>565</v>
      </c>
    </row>
    <row r="84" spans="1:19" x14ac:dyDescent="0.3">
      <c r="A84" s="3" t="s">
        <v>152</v>
      </c>
      <c r="B84" s="1">
        <v>44552</v>
      </c>
      <c r="C84">
        <v>22</v>
      </c>
      <c r="D84" t="s">
        <v>20</v>
      </c>
      <c r="E84">
        <v>2021</v>
      </c>
      <c r="F84">
        <v>25</v>
      </c>
      <c r="G84" s="8" t="s">
        <v>36</v>
      </c>
      <c r="H84" t="s">
        <v>28</v>
      </c>
      <c r="I84" t="s">
        <v>89</v>
      </c>
      <c r="J84" t="s">
        <v>90</v>
      </c>
      <c r="K84" t="s">
        <v>25</v>
      </c>
      <c r="L84" t="s">
        <v>26</v>
      </c>
      <c r="M84" s="5" t="s">
        <v>44</v>
      </c>
      <c r="N84">
        <v>1</v>
      </c>
      <c r="O84" s="2">
        <v>1252</v>
      </c>
      <c r="P84" s="2">
        <v>2295</v>
      </c>
      <c r="Q84" s="2">
        <v>1043</v>
      </c>
      <c r="R84" s="2">
        <f t="shared" si="4"/>
        <v>1252</v>
      </c>
      <c r="S84" s="2">
        <f t="shared" si="5"/>
        <v>2295</v>
      </c>
    </row>
    <row r="85" spans="1:19" x14ac:dyDescent="0.3">
      <c r="A85" s="3" t="s">
        <v>153</v>
      </c>
      <c r="B85" s="1">
        <v>44552</v>
      </c>
      <c r="C85">
        <v>22</v>
      </c>
      <c r="D85" t="s">
        <v>20</v>
      </c>
      <c r="E85">
        <v>2021</v>
      </c>
      <c r="F85">
        <v>27</v>
      </c>
      <c r="G85" s="8" t="s">
        <v>36</v>
      </c>
      <c r="H85" t="s">
        <v>22</v>
      </c>
      <c r="I85" t="s">
        <v>59</v>
      </c>
      <c r="J85" t="s">
        <v>60</v>
      </c>
      <c r="K85" t="s">
        <v>25</v>
      </c>
      <c r="L85" t="s">
        <v>26</v>
      </c>
      <c r="M85" s="5" t="s">
        <v>27</v>
      </c>
      <c r="N85">
        <v>1</v>
      </c>
      <c r="O85" s="2">
        <v>1252</v>
      </c>
      <c r="P85" s="2">
        <v>2295</v>
      </c>
      <c r="Q85" s="2">
        <v>1043</v>
      </c>
      <c r="R85" s="2">
        <f t="shared" si="4"/>
        <v>1252</v>
      </c>
      <c r="S85" s="2">
        <f t="shared" si="5"/>
        <v>2295</v>
      </c>
    </row>
    <row r="86" spans="1:19" x14ac:dyDescent="0.3">
      <c r="A86" s="3" t="s">
        <v>154</v>
      </c>
      <c r="B86" s="1">
        <v>44552</v>
      </c>
      <c r="C86">
        <v>22</v>
      </c>
      <c r="D86" t="s">
        <v>20</v>
      </c>
      <c r="E86">
        <v>2021</v>
      </c>
      <c r="F86">
        <v>41</v>
      </c>
      <c r="G86" s="8" t="s">
        <v>21</v>
      </c>
      <c r="H86" t="s">
        <v>28</v>
      </c>
      <c r="I86" t="s">
        <v>51</v>
      </c>
      <c r="J86" t="s">
        <v>138</v>
      </c>
      <c r="K86" t="s">
        <v>25</v>
      </c>
      <c r="L86" t="s">
        <v>26</v>
      </c>
      <c r="M86" s="5" t="s">
        <v>55</v>
      </c>
      <c r="N86">
        <v>1</v>
      </c>
      <c r="O86" s="2">
        <v>1266</v>
      </c>
      <c r="P86" s="2">
        <v>2320</v>
      </c>
      <c r="Q86" s="2">
        <v>1054</v>
      </c>
      <c r="R86" s="2">
        <f t="shared" si="4"/>
        <v>1266</v>
      </c>
      <c r="S86" s="2">
        <f t="shared" si="5"/>
        <v>2320</v>
      </c>
    </row>
    <row r="87" spans="1:19" x14ac:dyDescent="0.3">
      <c r="A87" s="3" t="s">
        <v>155</v>
      </c>
      <c r="B87" s="1">
        <v>44553</v>
      </c>
      <c r="C87">
        <v>23</v>
      </c>
      <c r="D87" t="s">
        <v>20</v>
      </c>
      <c r="E87">
        <v>2021</v>
      </c>
      <c r="F87">
        <v>30</v>
      </c>
      <c r="G87" s="8" t="s">
        <v>36</v>
      </c>
      <c r="H87" t="s">
        <v>22</v>
      </c>
      <c r="I87" t="s">
        <v>23</v>
      </c>
      <c r="J87" t="s">
        <v>72</v>
      </c>
      <c r="K87" t="s">
        <v>25</v>
      </c>
      <c r="L87" t="s">
        <v>26</v>
      </c>
      <c r="M87" s="5" t="s">
        <v>31</v>
      </c>
      <c r="N87">
        <v>1</v>
      </c>
      <c r="O87" s="2">
        <v>1266</v>
      </c>
      <c r="P87" s="2">
        <v>2320</v>
      </c>
      <c r="Q87" s="2">
        <v>1054</v>
      </c>
      <c r="R87" s="2">
        <f t="shared" si="4"/>
        <v>1266</v>
      </c>
      <c r="S87" s="2">
        <f t="shared" si="5"/>
        <v>2320</v>
      </c>
    </row>
    <row r="88" spans="1:19" x14ac:dyDescent="0.3">
      <c r="A88" s="3" t="s">
        <v>156</v>
      </c>
      <c r="B88" s="1">
        <v>44553</v>
      </c>
      <c r="C88">
        <v>23</v>
      </c>
      <c r="D88" t="s">
        <v>20</v>
      </c>
      <c r="E88">
        <v>2021</v>
      </c>
      <c r="F88">
        <v>31</v>
      </c>
      <c r="G88" s="8" t="s">
        <v>36</v>
      </c>
      <c r="H88" t="s">
        <v>22</v>
      </c>
      <c r="I88" t="s">
        <v>59</v>
      </c>
      <c r="J88" t="s">
        <v>60</v>
      </c>
      <c r="K88" t="s">
        <v>25</v>
      </c>
      <c r="L88" t="s">
        <v>26</v>
      </c>
      <c r="M88" s="5" t="s">
        <v>62</v>
      </c>
      <c r="N88">
        <v>1</v>
      </c>
      <c r="O88" s="2">
        <v>1252</v>
      </c>
      <c r="P88" s="2">
        <v>2295</v>
      </c>
      <c r="Q88" s="2">
        <v>1043</v>
      </c>
      <c r="R88" s="2">
        <f t="shared" si="4"/>
        <v>1252</v>
      </c>
      <c r="S88" s="2">
        <f t="shared" si="5"/>
        <v>2295</v>
      </c>
    </row>
    <row r="89" spans="1:19" x14ac:dyDescent="0.3">
      <c r="A89" s="3" t="s">
        <v>157</v>
      </c>
      <c r="B89" s="1">
        <v>44553</v>
      </c>
      <c r="C89">
        <v>23</v>
      </c>
      <c r="D89" t="s">
        <v>20</v>
      </c>
      <c r="E89">
        <v>2021</v>
      </c>
      <c r="F89">
        <v>35</v>
      </c>
      <c r="G89" s="8" t="s">
        <v>21</v>
      </c>
      <c r="H89" t="s">
        <v>22</v>
      </c>
      <c r="I89" t="s">
        <v>23</v>
      </c>
      <c r="J89" t="s">
        <v>24</v>
      </c>
      <c r="K89" t="s">
        <v>25</v>
      </c>
      <c r="L89" t="s">
        <v>26</v>
      </c>
      <c r="M89" s="5" t="s">
        <v>74</v>
      </c>
      <c r="N89">
        <v>1</v>
      </c>
      <c r="O89" s="2">
        <v>295</v>
      </c>
      <c r="P89" s="2">
        <v>540</v>
      </c>
      <c r="Q89" s="2">
        <v>245</v>
      </c>
      <c r="R89" s="2">
        <f t="shared" si="4"/>
        <v>295</v>
      </c>
      <c r="S89" s="2">
        <f t="shared" si="5"/>
        <v>540</v>
      </c>
    </row>
    <row r="90" spans="1:19" x14ac:dyDescent="0.3">
      <c r="A90" s="3" t="s">
        <v>158</v>
      </c>
      <c r="B90" s="1">
        <v>44554</v>
      </c>
      <c r="C90">
        <v>24</v>
      </c>
      <c r="D90" t="s">
        <v>20</v>
      </c>
      <c r="E90">
        <v>2021</v>
      </c>
      <c r="F90">
        <v>38</v>
      </c>
      <c r="G90" s="8" t="s">
        <v>21</v>
      </c>
      <c r="H90" t="s">
        <v>28</v>
      </c>
      <c r="I90" t="s">
        <v>37</v>
      </c>
      <c r="J90" t="s">
        <v>54</v>
      </c>
      <c r="K90" t="s">
        <v>25</v>
      </c>
      <c r="L90" t="s">
        <v>26</v>
      </c>
      <c r="M90" s="5" t="s">
        <v>62</v>
      </c>
      <c r="N90">
        <v>4</v>
      </c>
      <c r="O90" s="2">
        <v>1252</v>
      </c>
      <c r="P90" s="2">
        <v>2295</v>
      </c>
      <c r="Q90" s="2">
        <v>4172</v>
      </c>
      <c r="R90" s="2">
        <f t="shared" si="4"/>
        <v>5008</v>
      </c>
      <c r="S90" s="2">
        <f t="shared" si="5"/>
        <v>9180</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FA70D-8F4A-4F1C-8489-956AE03A486B}">
  <dimension ref="A1:S90"/>
  <sheetViews>
    <sheetView zoomScale="105" zoomScaleNormal="98" workbookViewId="0">
      <selection activeCell="E20" sqref="E20"/>
    </sheetView>
  </sheetViews>
  <sheetFormatPr defaultRowHeight="14.4" x14ac:dyDescent="0.3"/>
  <cols>
    <col min="1" max="1" width="15.88671875" bestFit="1" customWidth="1"/>
    <col min="2" max="2" width="13.109375" customWidth="1"/>
    <col min="3" max="3" width="12.44140625" customWidth="1"/>
    <col min="4" max="4" width="14.21875" customWidth="1"/>
    <col min="5" max="5" width="13.44140625" customWidth="1"/>
    <col min="6" max="6" width="12.77734375" customWidth="1"/>
    <col min="7" max="7" width="21.6640625" customWidth="1"/>
    <col min="8" max="8" width="21.5546875" customWidth="1"/>
    <col min="9" max="9" width="18.5546875" customWidth="1"/>
    <col min="10" max="10" width="24.21875" customWidth="1"/>
    <col min="11" max="11" width="16.109375" customWidth="1"/>
    <col min="12" max="12" width="17.6640625" customWidth="1"/>
    <col min="13" max="13" width="33.33203125" customWidth="1"/>
    <col min="14" max="14" width="13.21875" customWidth="1"/>
    <col min="15" max="15" width="15.33203125" customWidth="1"/>
    <col min="16" max="16" width="16.5546875" customWidth="1"/>
    <col min="17" max="17" width="18" customWidth="1"/>
    <col min="18" max="18" width="14.21875" customWidth="1"/>
    <col min="19" max="19" width="11.5546875" bestFit="1" customWidth="1"/>
    <col min="20" max="20" width="10.5546875"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161</v>
      </c>
      <c r="P1" t="s">
        <v>162</v>
      </c>
      <c r="Q1" t="s">
        <v>163</v>
      </c>
      <c r="R1" t="s">
        <v>164</v>
      </c>
      <c r="S1" t="s">
        <v>18</v>
      </c>
    </row>
    <row r="2" spans="1:19" x14ac:dyDescent="0.3">
      <c r="A2" s="16" t="s">
        <v>19</v>
      </c>
      <c r="B2" s="17">
        <v>44531</v>
      </c>
      <c r="C2" s="8">
        <v>1</v>
      </c>
      <c r="D2" s="8" t="s">
        <v>20</v>
      </c>
      <c r="E2" s="8">
        <v>2021</v>
      </c>
      <c r="F2" s="8">
        <v>39</v>
      </c>
      <c r="G2" s="8" t="s">
        <v>21</v>
      </c>
      <c r="H2" s="8" t="s">
        <v>159</v>
      </c>
      <c r="I2" s="8" t="s">
        <v>23</v>
      </c>
      <c r="J2" s="8" t="s">
        <v>24</v>
      </c>
      <c r="K2" s="8" t="s">
        <v>25</v>
      </c>
      <c r="L2" s="8" t="s">
        <v>26</v>
      </c>
      <c r="M2" s="8" t="s">
        <v>27</v>
      </c>
      <c r="N2" s="8">
        <v>4</v>
      </c>
      <c r="O2" s="18">
        <v>1252</v>
      </c>
      <c r="P2" s="18">
        <v>2295</v>
      </c>
      <c r="Q2" s="18">
        <f>S2-R2</f>
        <v>4172</v>
      </c>
      <c r="R2" s="18">
        <f>N2*O2</f>
        <v>5008</v>
      </c>
      <c r="S2" s="18">
        <f>N2*P2</f>
        <v>9180</v>
      </c>
    </row>
    <row r="3" spans="1:19" x14ac:dyDescent="0.3">
      <c r="A3" s="16" t="s">
        <v>19</v>
      </c>
      <c r="B3" s="17">
        <v>44531</v>
      </c>
      <c r="C3" s="8">
        <v>1</v>
      </c>
      <c r="D3" s="8" t="s">
        <v>20</v>
      </c>
      <c r="E3" s="8">
        <v>2021</v>
      </c>
      <c r="F3" s="8">
        <v>44</v>
      </c>
      <c r="G3" s="8" t="s">
        <v>21</v>
      </c>
      <c r="H3" s="8" t="s">
        <v>160</v>
      </c>
      <c r="I3" s="8" t="s">
        <v>29</v>
      </c>
      <c r="J3" s="8" t="s">
        <v>30</v>
      </c>
      <c r="K3" s="8" t="s">
        <v>25</v>
      </c>
      <c r="L3" s="8" t="s">
        <v>26</v>
      </c>
      <c r="M3" s="8" t="s">
        <v>31</v>
      </c>
      <c r="N3" s="8">
        <v>1</v>
      </c>
      <c r="O3" s="18">
        <v>1266</v>
      </c>
      <c r="P3" s="18">
        <v>2320</v>
      </c>
      <c r="Q3" s="18">
        <f t="shared" ref="Q3:Q66" si="0">S3-R3</f>
        <v>1054</v>
      </c>
      <c r="R3" s="18">
        <f t="shared" ref="R3:R66" si="1">N3*O3</f>
        <v>1266</v>
      </c>
      <c r="S3" s="18">
        <f t="shared" ref="S3:S66" si="2">N3*P3</f>
        <v>2320</v>
      </c>
    </row>
    <row r="4" spans="1:19" x14ac:dyDescent="0.3">
      <c r="A4" s="16" t="s">
        <v>32</v>
      </c>
      <c r="B4" s="17">
        <v>44532</v>
      </c>
      <c r="C4" s="8">
        <v>2</v>
      </c>
      <c r="D4" s="8" t="s">
        <v>20</v>
      </c>
      <c r="E4" s="8">
        <v>2021</v>
      </c>
      <c r="F4" s="8">
        <v>37</v>
      </c>
      <c r="G4" s="8" t="s">
        <v>21</v>
      </c>
      <c r="H4" s="8" t="s">
        <v>160</v>
      </c>
      <c r="I4" s="8" t="s">
        <v>23</v>
      </c>
      <c r="J4" s="8" t="s">
        <v>24</v>
      </c>
      <c r="K4" s="8" t="s">
        <v>25</v>
      </c>
      <c r="L4" s="8" t="s">
        <v>26</v>
      </c>
      <c r="M4" s="8" t="s">
        <v>34</v>
      </c>
      <c r="N4" s="8">
        <v>2</v>
      </c>
      <c r="O4" s="18">
        <v>420</v>
      </c>
      <c r="P4" s="18">
        <v>769</v>
      </c>
      <c r="Q4" s="18">
        <f t="shared" si="0"/>
        <v>698</v>
      </c>
      <c r="R4" s="18">
        <f t="shared" si="1"/>
        <v>840</v>
      </c>
      <c r="S4" s="18">
        <f t="shared" si="2"/>
        <v>1538</v>
      </c>
    </row>
    <row r="5" spans="1:19" x14ac:dyDescent="0.3">
      <c r="A5" s="16" t="s">
        <v>35</v>
      </c>
      <c r="B5" s="17">
        <v>44532</v>
      </c>
      <c r="C5" s="8">
        <v>2</v>
      </c>
      <c r="D5" s="8" t="s">
        <v>20</v>
      </c>
      <c r="E5" s="8">
        <v>2021</v>
      </c>
      <c r="F5" s="8">
        <v>31</v>
      </c>
      <c r="G5" s="8" t="s">
        <v>36</v>
      </c>
      <c r="H5" s="8" t="s">
        <v>159</v>
      </c>
      <c r="I5" s="8" t="s">
        <v>37</v>
      </c>
      <c r="J5" s="8" t="s">
        <v>38</v>
      </c>
      <c r="K5" s="8" t="s">
        <v>25</v>
      </c>
      <c r="L5" s="8" t="s">
        <v>26</v>
      </c>
      <c r="M5" s="8" t="s">
        <v>39</v>
      </c>
      <c r="N5" s="8">
        <v>1</v>
      </c>
      <c r="O5" s="18">
        <v>420</v>
      </c>
      <c r="P5" s="18">
        <v>769</v>
      </c>
      <c r="Q5" s="18">
        <f t="shared" si="0"/>
        <v>349</v>
      </c>
      <c r="R5" s="18">
        <f t="shared" si="1"/>
        <v>420</v>
      </c>
      <c r="S5" s="18">
        <f t="shared" si="2"/>
        <v>769</v>
      </c>
    </row>
    <row r="6" spans="1:19" x14ac:dyDescent="0.3">
      <c r="A6" s="16" t="s">
        <v>40</v>
      </c>
      <c r="B6" s="17">
        <v>44533</v>
      </c>
      <c r="C6" s="8">
        <v>3</v>
      </c>
      <c r="D6" s="8" t="s">
        <v>20</v>
      </c>
      <c r="E6" s="8">
        <v>2021</v>
      </c>
      <c r="F6" s="8">
        <v>37</v>
      </c>
      <c r="G6" s="8" t="s">
        <v>21</v>
      </c>
      <c r="H6" s="8" t="s">
        <v>159</v>
      </c>
      <c r="I6" s="8" t="s">
        <v>23</v>
      </c>
      <c r="J6" s="8" t="s">
        <v>24</v>
      </c>
      <c r="K6" s="8" t="s">
        <v>25</v>
      </c>
      <c r="L6" s="8" t="s">
        <v>26</v>
      </c>
      <c r="M6" s="8" t="s">
        <v>27</v>
      </c>
      <c r="N6" s="8">
        <v>2</v>
      </c>
      <c r="O6" s="18">
        <v>1252</v>
      </c>
      <c r="P6" s="18">
        <v>2295</v>
      </c>
      <c r="Q6" s="18">
        <f t="shared" si="0"/>
        <v>2086</v>
      </c>
      <c r="R6" s="18">
        <f t="shared" si="1"/>
        <v>2504</v>
      </c>
      <c r="S6" s="18">
        <f t="shared" si="2"/>
        <v>4590</v>
      </c>
    </row>
    <row r="7" spans="1:19" x14ac:dyDescent="0.3">
      <c r="A7" s="16" t="s">
        <v>42</v>
      </c>
      <c r="B7" s="17">
        <v>44533</v>
      </c>
      <c r="C7" s="8">
        <v>3</v>
      </c>
      <c r="D7" s="8" t="s">
        <v>20</v>
      </c>
      <c r="E7" s="8">
        <v>2021</v>
      </c>
      <c r="F7" s="8">
        <v>24</v>
      </c>
      <c r="G7" s="8" t="s">
        <v>43</v>
      </c>
      <c r="H7" s="8" t="s">
        <v>159</v>
      </c>
      <c r="I7" s="8" t="s">
        <v>29</v>
      </c>
      <c r="J7" s="8" t="s">
        <v>30</v>
      </c>
      <c r="K7" s="8" t="s">
        <v>25</v>
      </c>
      <c r="L7" s="8" t="s">
        <v>26</v>
      </c>
      <c r="M7" s="8" t="s">
        <v>44</v>
      </c>
      <c r="N7" s="8">
        <v>1</v>
      </c>
      <c r="O7" s="18">
        <v>1252</v>
      </c>
      <c r="P7" s="18">
        <v>2295</v>
      </c>
      <c r="Q7" s="18">
        <f t="shared" si="0"/>
        <v>1043</v>
      </c>
      <c r="R7" s="18">
        <f t="shared" si="1"/>
        <v>1252</v>
      </c>
      <c r="S7" s="18">
        <f t="shared" si="2"/>
        <v>2295</v>
      </c>
    </row>
    <row r="8" spans="1:19" x14ac:dyDescent="0.3">
      <c r="A8" s="16" t="s">
        <v>45</v>
      </c>
      <c r="B8" s="17">
        <v>44533</v>
      </c>
      <c r="C8" s="8">
        <v>3</v>
      </c>
      <c r="D8" s="8" t="s">
        <v>20</v>
      </c>
      <c r="E8" s="8">
        <v>2021</v>
      </c>
      <c r="F8" s="8">
        <v>37</v>
      </c>
      <c r="G8" s="8" t="s">
        <v>21</v>
      </c>
      <c r="H8" s="8" t="s">
        <v>160</v>
      </c>
      <c r="I8" s="8" t="s">
        <v>23</v>
      </c>
      <c r="J8" s="8" t="s">
        <v>47</v>
      </c>
      <c r="K8" s="8" t="s">
        <v>25</v>
      </c>
      <c r="L8" s="8" t="s">
        <v>26</v>
      </c>
      <c r="M8" s="8" t="s">
        <v>27</v>
      </c>
      <c r="N8" s="8">
        <v>1</v>
      </c>
      <c r="O8" s="18">
        <v>1252</v>
      </c>
      <c r="P8" s="18">
        <v>2295</v>
      </c>
      <c r="Q8" s="18">
        <f t="shared" si="0"/>
        <v>1043</v>
      </c>
      <c r="R8" s="18">
        <f t="shared" si="1"/>
        <v>1252</v>
      </c>
      <c r="S8" s="18">
        <f t="shared" si="2"/>
        <v>2295</v>
      </c>
    </row>
    <row r="9" spans="1:19" x14ac:dyDescent="0.3">
      <c r="A9" s="16" t="s">
        <v>45</v>
      </c>
      <c r="B9" s="17">
        <v>44533</v>
      </c>
      <c r="C9" s="8">
        <v>3</v>
      </c>
      <c r="D9" s="8" t="s">
        <v>20</v>
      </c>
      <c r="E9" s="8">
        <v>2021</v>
      </c>
      <c r="F9" s="8">
        <v>37</v>
      </c>
      <c r="G9" s="8" t="s">
        <v>21</v>
      </c>
      <c r="H9" s="8" t="s">
        <v>160</v>
      </c>
      <c r="I9" s="8" t="s">
        <v>23</v>
      </c>
      <c r="J9" s="8" t="s">
        <v>47</v>
      </c>
      <c r="K9" s="8" t="s">
        <v>25</v>
      </c>
      <c r="L9" s="8" t="s">
        <v>26</v>
      </c>
      <c r="M9" s="8" t="s">
        <v>27</v>
      </c>
      <c r="N9" s="8">
        <v>1</v>
      </c>
      <c r="O9" s="18">
        <v>1252</v>
      </c>
      <c r="P9" s="18">
        <v>2295</v>
      </c>
      <c r="Q9" s="18">
        <f t="shared" si="0"/>
        <v>1043</v>
      </c>
      <c r="R9" s="18">
        <f t="shared" si="1"/>
        <v>1252</v>
      </c>
      <c r="S9" s="18">
        <f t="shared" si="2"/>
        <v>2295</v>
      </c>
    </row>
    <row r="10" spans="1:19" x14ac:dyDescent="0.3">
      <c r="A10" s="16" t="s">
        <v>48</v>
      </c>
      <c r="B10" s="17">
        <v>44534</v>
      </c>
      <c r="C10" s="8">
        <v>4</v>
      </c>
      <c r="D10" s="8" t="s">
        <v>20</v>
      </c>
      <c r="E10" s="8">
        <v>2021</v>
      </c>
      <c r="F10" s="8">
        <v>31</v>
      </c>
      <c r="G10" s="8" t="s">
        <v>36</v>
      </c>
      <c r="H10" s="8" t="s">
        <v>159</v>
      </c>
      <c r="I10" s="8" t="s">
        <v>37</v>
      </c>
      <c r="J10" s="8" t="s">
        <v>38</v>
      </c>
      <c r="K10" s="8" t="s">
        <v>25</v>
      </c>
      <c r="L10" s="8" t="s">
        <v>26</v>
      </c>
      <c r="M10" s="8" t="s">
        <v>39</v>
      </c>
      <c r="N10" s="8">
        <v>4</v>
      </c>
      <c r="O10" s="18">
        <v>420</v>
      </c>
      <c r="P10" s="18">
        <v>769</v>
      </c>
      <c r="Q10" s="18">
        <f t="shared" si="0"/>
        <v>1396</v>
      </c>
      <c r="R10" s="18">
        <f t="shared" si="1"/>
        <v>1680</v>
      </c>
      <c r="S10" s="18">
        <f t="shared" si="2"/>
        <v>3076</v>
      </c>
    </row>
    <row r="11" spans="1:19" x14ac:dyDescent="0.3">
      <c r="A11" s="16" t="s">
        <v>49</v>
      </c>
      <c r="B11" s="17">
        <v>44535</v>
      </c>
      <c r="C11" s="8">
        <v>5</v>
      </c>
      <c r="D11" s="8" t="s">
        <v>20</v>
      </c>
      <c r="E11" s="8">
        <v>2021</v>
      </c>
      <c r="F11" s="8">
        <v>39</v>
      </c>
      <c r="G11" s="8" t="s">
        <v>21</v>
      </c>
      <c r="H11" s="8" t="s">
        <v>159</v>
      </c>
      <c r="I11" s="8" t="s">
        <v>23</v>
      </c>
      <c r="J11" s="8" t="s">
        <v>24</v>
      </c>
      <c r="K11" s="8" t="s">
        <v>25</v>
      </c>
      <c r="L11" s="8" t="s">
        <v>26</v>
      </c>
      <c r="M11" s="8" t="s">
        <v>27</v>
      </c>
      <c r="N11" s="8">
        <v>4</v>
      </c>
      <c r="O11" s="18">
        <v>1252</v>
      </c>
      <c r="P11" s="18">
        <v>2295</v>
      </c>
      <c r="Q11" s="18">
        <f t="shared" si="0"/>
        <v>4172</v>
      </c>
      <c r="R11" s="18">
        <f t="shared" si="1"/>
        <v>5008</v>
      </c>
      <c r="S11" s="18">
        <f t="shared" si="2"/>
        <v>9180</v>
      </c>
    </row>
    <row r="12" spans="1:19" x14ac:dyDescent="0.3">
      <c r="A12" s="16" t="s">
        <v>50</v>
      </c>
      <c r="B12" s="17">
        <v>44535</v>
      </c>
      <c r="C12" s="8">
        <v>5</v>
      </c>
      <c r="D12" s="8" t="s">
        <v>20</v>
      </c>
      <c r="E12" s="8">
        <v>2021</v>
      </c>
      <c r="F12" s="8">
        <v>42</v>
      </c>
      <c r="G12" s="8" t="s">
        <v>21</v>
      </c>
      <c r="H12" s="8" t="s">
        <v>160</v>
      </c>
      <c r="I12" s="8" t="s">
        <v>51</v>
      </c>
      <c r="J12" s="8" t="s">
        <v>52</v>
      </c>
      <c r="K12" s="8" t="s">
        <v>25</v>
      </c>
      <c r="L12" s="8" t="s">
        <v>26</v>
      </c>
      <c r="M12" s="8" t="s">
        <v>44</v>
      </c>
      <c r="N12" s="8">
        <v>4</v>
      </c>
      <c r="O12" s="18">
        <v>1252</v>
      </c>
      <c r="P12" s="18">
        <v>2295</v>
      </c>
      <c r="Q12" s="18">
        <f t="shared" si="0"/>
        <v>4172</v>
      </c>
      <c r="R12" s="18">
        <f t="shared" si="1"/>
        <v>5008</v>
      </c>
      <c r="S12" s="18">
        <f t="shared" si="2"/>
        <v>9180</v>
      </c>
    </row>
    <row r="13" spans="1:19" x14ac:dyDescent="0.3">
      <c r="A13" s="16" t="s">
        <v>53</v>
      </c>
      <c r="B13" s="17">
        <v>44535</v>
      </c>
      <c r="C13" s="8">
        <v>5</v>
      </c>
      <c r="D13" s="8" t="s">
        <v>20</v>
      </c>
      <c r="E13" s="8">
        <v>2021</v>
      </c>
      <c r="F13" s="8">
        <v>35</v>
      </c>
      <c r="G13" s="8" t="s">
        <v>21</v>
      </c>
      <c r="H13" s="8" t="s">
        <v>159</v>
      </c>
      <c r="I13" s="8" t="s">
        <v>37</v>
      </c>
      <c r="J13" s="8" t="s">
        <v>54</v>
      </c>
      <c r="K13" s="8" t="s">
        <v>25</v>
      </c>
      <c r="L13" s="8" t="s">
        <v>26</v>
      </c>
      <c r="M13" s="8" t="s">
        <v>55</v>
      </c>
      <c r="N13" s="8">
        <v>1</v>
      </c>
      <c r="O13" s="18">
        <v>1266</v>
      </c>
      <c r="P13" s="18">
        <v>2320</v>
      </c>
      <c r="Q13" s="18">
        <f t="shared" si="0"/>
        <v>1054</v>
      </c>
      <c r="R13" s="18">
        <f t="shared" si="1"/>
        <v>1266</v>
      </c>
      <c r="S13" s="18">
        <f t="shared" si="2"/>
        <v>2320</v>
      </c>
    </row>
    <row r="14" spans="1:19" x14ac:dyDescent="0.3">
      <c r="A14" s="16" t="s">
        <v>56</v>
      </c>
      <c r="B14" s="17">
        <v>44535</v>
      </c>
      <c r="C14" s="8">
        <v>5</v>
      </c>
      <c r="D14" s="8" t="s">
        <v>20</v>
      </c>
      <c r="E14" s="8">
        <v>2021</v>
      </c>
      <c r="F14" s="8">
        <v>37</v>
      </c>
      <c r="G14" s="8" t="s">
        <v>21</v>
      </c>
      <c r="H14" s="8" t="s">
        <v>159</v>
      </c>
      <c r="I14" s="8" t="s">
        <v>23</v>
      </c>
      <c r="J14" s="8" t="s">
        <v>24</v>
      </c>
      <c r="K14" s="8" t="s">
        <v>25</v>
      </c>
      <c r="L14" s="8" t="s">
        <v>26</v>
      </c>
      <c r="M14" s="8" t="s">
        <v>27</v>
      </c>
      <c r="N14" s="8">
        <v>1</v>
      </c>
      <c r="O14" s="18">
        <v>1252</v>
      </c>
      <c r="P14" s="18">
        <v>2295</v>
      </c>
      <c r="Q14" s="18">
        <f t="shared" si="0"/>
        <v>1043</v>
      </c>
      <c r="R14" s="18">
        <f t="shared" si="1"/>
        <v>1252</v>
      </c>
      <c r="S14" s="18">
        <f t="shared" si="2"/>
        <v>2295</v>
      </c>
    </row>
    <row r="15" spans="1:19" x14ac:dyDescent="0.3">
      <c r="A15" s="16" t="s">
        <v>57</v>
      </c>
      <c r="B15" s="17">
        <v>44536</v>
      </c>
      <c r="C15" s="8">
        <v>6</v>
      </c>
      <c r="D15" s="8" t="s">
        <v>20</v>
      </c>
      <c r="E15" s="8">
        <v>2021</v>
      </c>
      <c r="F15" s="8">
        <v>23</v>
      </c>
      <c r="G15" s="8" t="s">
        <v>43</v>
      </c>
      <c r="H15" s="8" t="s">
        <v>160</v>
      </c>
      <c r="I15" s="8" t="s">
        <v>29</v>
      </c>
      <c r="J15" s="8" t="s">
        <v>30</v>
      </c>
      <c r="K15" s="8" t="s">
        <v>25</v>
      </c>
      <c r="L15" s="8" t="s">
        <v>26</v>
      </c>
      <c r="M15" s="8" t="s">
        <v>34</v>
      </c>
      <c r="N15" s="8">
        <v>3</v>
      </c>
      <c r="O15" s="18">
        <v>420</v>
      </c>
      <c r="P15" s="18">
        <v>769</v>
      </c>
      <c r="Q15" s="18">
        <f t="shared" si="0"/>
        <v>1047</v>
      </c>
      <c r="R15" s="18">
        <f t="shared" si="1"/>
        <v>1260</v>
      </c>
      <c r="S15" s="18">
        <f t="shared" si="2"/>
        <v>2307</v>
      </c>
    </row>
    <row r="16" spans="1:19" x14ac:dyDescent="0.3">
      <c r="A16" s="16" t="s">
        <v>58</v>
      </c>
      <c r="B16" s="17">
        <v>44536</v>
      </c>
      <c r="C16" s="8">
        <v>6</v>
      </c>
      <c r="D16" s="8" t="s">
        <v>20</v>
      </c>
      <c r="E16" s="8">
        <v>2021</v>
      </c>
      <c r="F16" s="8">
        <v>27</v>
      </c>
      <c r="G16" s="8" t="s">
        <v>36</v>
      </c>
      <c r="H16" s="8" t="s">
        <v>160</v>
      </c>
      <c r="I16" s="8" t="s">
        <v>59</v>
      </c>
      <c r="J16" s="8" t="s">
        <v>60</v>
      </c>
      <c r="K16" s="8" t="s">
        <v>25</v>
      </c>
      <c r="L16" s="8" t="s">
        <v>26</v>
      </c>
      <c r="M16" s="8" t="s">
        <v>27</v>
      </c>
      <c r="N16" s="8">
        <v>1</v>
      </c>
      <c r="O16" s="18">
        <v>1252</v>
      </c>
      <c r="P16" s="18">
        <v>2295</v>
      </c>
      <c r="Q16" s="18">
        <f t="shared" si="0"/>
        <v>1043</v>
      </c>
      <c r="R16" s="18">
        <f t="shared" si="1"/>
        <v>1252</v>
      </c>
      <c r="S16" s="18">
        <f t="shared" si="2"/>
        <v>2295</v>
      </c>
    </row>
    <row r="17" spans="1:19" x14ac:dyDescent="0.3">
      <c r="A17" s="16" t="s">
        <v>61</v>
      </c>
      <c r="B17" s="17">
        <v>44536</v>
      </c>
      <c r="C17" s="8">
        <v>6</v>
      </c>
      <c r="D17" s="8" t="s">
        <v>20</v>
      </c>
      <c r="E17" s="8">
        <v>2021</v>
      </c>
      <c r="F17" s="8">
        <v>36</v>
      </c>
      <c r="G17" s="8" t="s">
        <v>21</v>
      </c>
      <c r="H17" s="8" t="s">
        <v>160</v>
      </c>
      <c r="I17" s="8" t="s">
        <v>37</v>
      </c>
      <c r="J17" s="8" t="s">
        <v>38</v>
      </c>
      <c r="K17" s="8" t="s">
        <v>25</v>
      </c>
      <c r="L17" s="8" t="s">
        <v>26</v>
      </c>
      <c r="M17" s="8" t="s">
        <v>62</v>
      </c>
      <c r="N17" s="8">
        <v>1</v>
      </c>
      <c r="O17" s="18">
        <v>1252</v>
      </c>
      <c r="P17" s="18">
        <v>2295</v>
      </c>
      <c r="Q17" s="18">
        <f t="shared" si="0"/>
        <v>1043</v>
      </c>
      <c r="R17" s="18">
        <f t="shared" si="1"/>
        <v>1252</v>
      </c>
      <c r="S17" s="18">
        <f t="shared" si="2"/>
        <v>2295</v>
      </c>
    </row>
    <row r="18" spans="1:19" x14ac:dyDescent="0.3">
      <c r="A18" s="16" t="s">
        <v>63</v>
      </c>
      <c r="B18" s="17">
        <v>44536</v>
      </c>
      <c r="C18" s="8">
        <v>6</v>
      </c>
      <c r="D18" s="8" t="s">
        <v>20</v>
      </c>
      <c r="E18" s="8">
        <v>2021</v>
      </c>
      <c r="F18" s="8">
        <v>47</v>
      </c>
      <c r="G18" s="8" t="s">
        <v>21</v>
      </c>
      <c r="H18" s="8" t="s">
        <v>160</v>
      </c>
      <c r="I18" s="8" t="s">
        <v>29</v>
      </c>
      <c r="J18" s="8" t="s">
        <v>30</v>
      </c>
      <c r="K18" s="8" t="s">
        <v>25</v>
      </c>
      <c r="L18" s="8" t="s">
        <v>26</v>
      </c>
      <c r="M18" s="8" t="s">
        <v>55</v>
      </c>
      <c r="N18" s="8">
        <v>1</v>
      </c>
      <c r="O18" s="18">
        <v>1266</v>
      </c>
      <c r="P18" s="18">
        <v>2320</v>
      </c>
      <c r="Q18" s="18">
        <f t="shared" si="0"/>
        <v>1054</v>
      </c>
      <c r="R18" s="18">
        <f t="shared" si="1"/>
        <v>1266</v>
      </c>
      <c r="S18" s="18">
        <f t="shared" si="2"/>
        <v>2320</v>
      </c>
    </row>
    <row r="19" spans="1:19" x14ac:dyDescent="0.3">
      <c r="A19" s="16" t="s">
        <v>64</v>
      </c>
      <c r="B19" s="17">
        <v>44537</v>
      </c>
      <c r="C19" s="8">
        <v>7</v>
      </c>
      <c r="D19" s="8" t="s">
        <v>20</v>
      </c>
      <c r="E19" s="8">
        <v>2021</v>
      </c>
      <c r="F19" s="8">
        <v>30</v>
      </c>
      <c r="G19" s="8" t="s">
        <v>36</v>
      </c>
      <c r="H19" s="8" t="s">
        <v>160</v>
      </c>
      <c r="I19" s="8" t="s">
        <v>23</v>
      </c>
      <c r="J19" s="8" t="s">
        <v>24</v>
      </c>
      <c r="K19" s="8" t="s">
        <v>25</v>
      </c>
      <c r="L19" s="8" t="s">
        <v>26</v>
      </c>
      <c r="M19" s="8" t="s">
        <v>66</v>
      </c>
      <c r="N19" s="8">
        <v>4</v>
      </c>
      <c r="O19" s="18">
        <v>420</v>
      </c>
      <c r="P19" s="18">
        <v>769</v>
      </c>
      <c r="Q19" s="18">
        <f t="shared" si="0"/>
        <v>1396</v>
      </c>
      <c r="R19" s="18">
        <f t="shared" si="1"/>
        <v>1680</v>
      </c>
      <c r="S19" s="18">
        <f t="shared" si="2"/>
        <v>3076</v>
      </c>
    </row>
    <row r="20" spans="1:19" x14ac:dyDescent="0.3">
      <c r="A20" s="16" t="s">
        <v>67</v>
      </c>
      <c r="B20" s="17">
        <v>44537</v>
      </c>
      <c r="C20" s="8">
        <v>7</v>
      </c>
      <c r="D20" s="8" t="s">
        <v>20</v>
      </c>
      <c r="E20" s="8">
        <v>2021</v>
      </c>
      <c r="F20" s="8">
        <v>38</v>
      </c>
      <c r="G20" s="8" t="s">
        <v>21</v>
      </c>
      <c r="H20" s="8" t="s">
        <v>160</v>
      </c>
      <c r="I20" s="8" t="s">
        <v>23</v>
      </c>
      <c r="J20" s="8" t="s">
        <v>24</v>
      </c>
      <c r="K20" s="8" t="s">
        <v>25</v>
      </c>
      <c r="L20" s="8" t="s">
        <v>26</v>
      </c>
      <c r="M20" s="8" t="s">
        <v>31</v>
      </c>
      <c r="N20" s="8">
        <v>2</v>
      </c>
      <c r="O20" s="18">
        <v>1266</v>
      </c>
      <c r="P20" s="18">
        <v>2320</v>
      </c>
      <c r="Q20" s="18">
        <f t="shared" si="0"/>
        <v>2108</v>
      </c>
      <c r="R20" s="18">
        <f t="shared" si="1"/>
        <v>2532</v>
      </c>
      <c r="S20" s="18">
        <f t="shared" si="2"/>
        <v>4640</v>
      </c>
    </row>
    <row r="21" spans="1:19" x14ac:dyDescent="0.3">
      <c r="A21" s="16" t="s">
        <v>68</v>
      </c>
      <c r="B21" s="17">
        <v>44538</v>
      </c>
      <c r="C21" s="8">
        <v>8</v>
      </c>
      <c r="D21" s="8" t="s">
        <v>20</v>
      </c>
      <c r="E21" s="8">
        <v>2021</v>
      </c>
      <c r="F21" s="8">
        <v>19</v>
      </c>
      <c r="G21" s="8" t="s">
        <v>43</v>
      </c>
      <c r="H21" s="8" t="s">
        <v>159</v>
      </c>
      <c r="I21" s="8" t="s">
        <v>37</v>
      </c>
      <c r="J21" s="8" t="s">
        <v>38</v>
      </c>
      <c r="K21" s="8" t="s">
        <v>25</v>
      </c>
      <c r="L21" s="8" t="s">
        <v>26</v>
      </c>
      <c r="M21" s="8" t="s">
        <v>69</v>
      </c>
      <c r="N21" s="8">
        <v>4</v>
      </c>
      <c r="O21" s="18">
        <v>308</v>
      </c>
      <c r="P21" s="18">
        <v>565</v>
      </c>
      <c r="Q21" s="18">
        <f t="shared" si="0"/>
        <v>1028</v>
      </c>
      <c r="R21" s="18">
        <f t="shared" si="1"/>
        <v>1232</v>
      </c>
      <c r="S21" s="18">
        <f t="shared" si="2"/>
        <v>2260</v>
      </c>
    </row>
    <row r="22" spans="1:19" x14ac:dyDescent="0.3">
      <c r="A22" s="16" t="s">
        <v>70</v>
      </c>
      <c r="B22" s="17">
        <v>44538</v>
      </c>
      <c r="C22" s="8">
        <v>8</v>
      </c>
      <c r="D22" s="8" t="s">
        <v>20</v>
      </c>
      <c r="E22" s="8">
        <v>2021</v>
      </c>
      <c r="F22" s="8">
        <v>30</v>
      </c>
      <c r="G22" s="8" t="s">
        <v>36</v>
      </c>
      <c r="H22" s="8" t="s">
        <v>159</v>
      </c>
      <c r="I22" s="8" t="s">
        <v>59</v>
      </c>
      <c r="J22" s="8" t="s">
        <v>60</v>
      </c>
      <c r="K22" s="8" t="s">
        <v>25</v>
      </c>
      <c r="L22" s="8" t="s">
        <v>26</v>
      </c>
      <c r="M22" s="8" t="s">
        <v>55</v>
      </c>
      <c r="N22" s="8">
        <v>4</v>
      </c>
      <c r="O22" s="18">
        <v>1266</v>
      </c>
      <c r="P22" s="18">
        <v>2320</v>
      </c>
      <c r="Q22" s="18">
        <f t="shared" si="0"/>
        <v>4216</v>
      </c>
      <c r="R22" s="18">
        <f t="shared" si="1"/>
        <v>5064</v>
      </c>
      <c r="S22" s="18">
        <f t="shared" si="2"/>
        <v>9280</v>
      </c>
    </row>
    <row r="23" spans="1:19" x14ac:dyDescent="0.3">
      <c r="A23" s="16" t="s">
        <v>71</v>
      </c>
      <c r="B23" s="17">
        <v>44538</v>
      </c>
      <c r="C23" s="8">
        <v>8</v>
      </c>
      <c r="D23" s="8" t="s">
        <v>20</v>
      </c>
      <c r="E23" s="8">
        <v>2021</v>
      </c>
      <c r="F23" s="8">
        <v>39</v>
      </c>
      <c r="G23" s="8" t="s">
        <v>21</v>
      </c>
      <c r="H23" s="8" t="s">
        <v>159</v>
      </c>
      <c r="I23" s="8" t="s">
        <v>23</v>
      </c>
      <c r="J23" s="8" t="s">
        <v>72</v>
      </c>
      <c r="K23" s="8" t="s">
        <v>25</v>
      </c>
      <c r="L23" s="8" t="s">
        <v>26</v>
      </c>
      <c r="M23" s="8" t="s">
        <v>165</v>
      </c>
      <c r="N23" s="8">
        <v>2</v>
      </c>
      <c r="O23" s="18">
        <v>1252</v>
      </c>
      <c r="P23" s="18">
        <v>2295</v>
      </c>
      <c r="Q23" s="18">
        <f t="shared" si="0"/>
        <v>2086</v>
      </c>
      <c r="R23" s="18">
        <f t="shared" si="1"/>
        <v>2504</v>
      </c>
      <c r="S23" s="18">
        <f t="shared" si="2"/>
        <v>4590</v>
      </c>
    </row>
    <row r="24" spans="1:19" x14ac:dyDescent="0.3">
      <c r="A24" s="16" t="s">
        <v>73</v>
      </c>
      <c r="B24" s="17">
        <v>44538</v>
      </c>
      <c r="C24" s="8">
        <v>8</v>
      </c>
      <c r="D24" s="8" t="s">
        <v>20</v>
      </c>
      <c r="E24" s="8">
        <v>2021</v>
      </c>
      <c r="F24" s="8">
        <v>35</v>
      </c>
      <c r="G24" s="8" t="s">
        <v>21</v>
      </c>
      <c r="H24" s="8" t="s">
        <v>159</v>
      </c>
      <c r="I24" s="8" t="s">
        <v>23</v>
      </c>
      <c r="J24" s="8" t="s">
        <v>24</v>
      </c>
      <c r="K24" s="8" t="s">
        <v>25</v>
      </c>
      <c r="L24" s="8" t="s">
        <v>26</v>
      </c>
      <c r="M24" s="8" t="s">
        <v>74</v>
      </c>
      <c r="N24" s="8">
        <v>1</v>
      </c>
      <c r="O24" s="18">
        <v>295</v>
      </c>
      <c r="P24" s="18">
        <v>540</v>
      </c>
      <c r="Q24" s="18">
        <f t="shared" si="0"/>
        <v>245</v>
      </c>
      <c r="R24" s="18">
        <f t="shared" si="1"/>
        <v>295</v>
      </c>
      <c r="S24" s="18">
        <f t="shared" si="2"/>
        <v>540</v>
      </c>
    </row>
    <row r="25" spans="1:19" x14ac:dyDescent="0.3">
      <c r="A25" s="16" t="s">
        <v>75</v>
      </c>
      <c r="B25" s="17">
        <v>44539</v>
      </c>
      <c r="C25" s="8">
        <v>9</v>
      </c>
      <c r="D25" s="8" t="s">
        <v>20</v>
      </c>
      <c r="E25" s="8">
        <v>2021</v>
      </c>
      <c r="F25" s="8">
        <v>33</v>
      </c>
      <c r="G25" s="8" t="s">
        <v>36</v>
      </c>
      <c r="H25" s="8" t="s">
        <v>159</v>
      </c>
      <c r="I25" s="8" t="s">
        <v>37</v>
      </c>
      <c r="J25" s="8" t="s">
        <v>76</v>
      </c>
      <c r="K25" s="8" t="s">
        <v>25</v>
      </c>
      <c r="L25" s="8" t="s">
        <v>26</v>
      </c>
      <c r="M25" s="8" t="s">
        <v>77</v>
      </c>
      <c r="N25" s="8">
        <v>2</v>
      </c>
      <c r="O25" s="18">
        <v>1898</v>
      </c>
      <c r="P25" s="18">
        <v>3375</v>
      </c>
      <c r="Q25" s="18">
        <f t="shared" si="0"/>
        <v>2954</v>
      </c>
      <c r="R25" s="18">
        <f t="shared" si="1"/>
        <v>3796</v>
      </c>
      <c r="S25" s="18">
        <f t="shared" si="2"/>
        <v>6750</v>
      </c>
    </row>
    <row r="26" spans="1:19" x14ac:dyDescent="0.3">
      <c r="A26" s="16" t="s">
        <v>78</v>
      </c>
      <c r="B26" s="17">
        <v>44539</v>
      </c>
      <c r="C26" s="8">
        <v>9</v>
      </c>
      <c r="D26" s="8" t="s">
        <v>20</v>
      </c>
      <c r="E26" s="8">
        <v>2021</v>
      </c>
      <c r="F26" s="8">
        <v>41</v>
      </c>
      <c r="G26" s="8" t="s">
        <v>21</v>
      </c>
      <c r="H26" s="8" t="s">
        <v>159</v>
      </c>
      <c r="I26" s="8" t="s">
        <v>51</v>
      </c>
      <c r="J26" s="8" t="s">
        <v>79</v>
      </c>
      <c r="K26" s="8" t="s">
        <v>25</v>
      </c>
      <c r="L26" s="8" t="s">
        <v>26</v>
      </c>
      <c r="M26" s="8" t="s">
        <v>31</v>
      </c>
      <c r="N26" s="8">
        <v>1</v>
      </c>
      <c r="O26" s="18">
        <v>1266</v>
      </c>
      <c r="P26" s="18">
        <v>2320</v>
      </c>
      <c r="Q26" s="18">
        <f t="shared" si="0"/>
        <v>1054</v>
      </c>
      <c r="R26" s="18">
        <f t="shared" si="1"/>
        <v>1266</v>
      </c>
      <c r="S26" s="18">
        <f t="shared" si="2"/>
        <v>2320</v>
      </c>
    </row>
    <row r="27" spans="1:19" x14ac:dyDescent="0.3">
      <c r="A27" s="16" t="s">
        <v>80</v>
      </c>
      <c r="B27" s="17">
        <v>44540</v>
      </c>
      <c r="C27" s="8">
        <v>10</v>
      </c>
      <c r="D27" s="8" t="s">
        <v>20</v>
      </c>
      <c r="E27" s="8">
        <v>2021</v>
      </c>
      <c r="F27" s="8">
        <v>34</v>
      </c>
      <c r="G27" s="8" t="s">
        <v>36</v>
      </c>
      <c r="H27" s="8" t="s">
        <v>159</v>
      </c>
      <c r="I27" s="8" t="s">
        <v>23</v>
      </c>
      <c r="J27" s="8" t="s">
        <v>24</v>
      </c>
      <c r="K27" s="8" t="s">
        <v>25</v>
      </c>
      <c r="L27" s="8" t="s">
        <v>26</v>
      </c>
      <c r="M27" s="8" t="s">
        <v>62</v>
      </c>
      <c r="N27" s="8">
        <v>2</v>
      </c>
      <c r="O27" s="18">
        <v>1252</v>
      </c>
      <c r="P27" s="18">
        <v>2295</v>
      </c>
      <c r="Q27" s="18">
        <f t="shared" si="0"/>
        <v>2086</v>
      </c>
      <c r="R27" s="18">
        <f t="shared" si="1"/>
        <v>2504</v>
      </c>
      <c r="S27" s="18">
        <f t="shared" si="2"/>
        <v>4590</v>
      </c>
    </row>
    <row r="28" spans="1:19" x14ac:dyDescent="0.3">
      <c r="A28" s="16" t="s">
        <v>81</v>
      </c>
      <c r="B28" s="17">
        <v>44540</v>
      </c>
      <c r="C28" s="8">
        <v>10</v>
      </c>
      <c r="D28" s="8" t="s">
        <v>20</v>
      </c>
      <c r="E28" s="8">
        <v>2021</v>
      </c>
      <c r="F28" s="8">
        <v>40</v>
      </c>
      <c r="G28" s="8" t="s">
        <v>21</v>
      </c>
      <c r="H28" s="8" t="s">
        <v>160</v>
      </c>
      <c r="I28" s="8" t="s">
        <v>37</v>
      </c>
      <c r="J28" s="8" t="s">
        <v>38</v>
      </c>
      <c r="K28" s="8" t="s">
        <v>25</v>
      </c>
      <c r="L28" s="8" t="s">
        <v>26</v>
      </c>
      <c r="M28" s="8" t="s">
        <v>62</v>
      </c>
      <c r="N28" s="8">
        <v>2</v>
      </c>
      <c r="O28" s="18">
        <v>1252</v>
      </c>
      <c r="P28" s="18">
        <v>2295</v>
      </c>
      <c r="Q28" s="18">
        <f t="shared" si="0"/>
        <v>2086</v>
      </c>
      <c r="R28" s="18">
        <f t="shared" si="1"/>
        <v>2504</v>
      </c>
      <c r="S28" s="18">
        <f t="shared" si="2"/>
        <v>4590</v>
      </c>
    </row>
    <row r="29" spans="1:19" x14ac:dyDescent="0.3">
      <c r="A29" s="16" t="s">
        <v>82</v>
      </c>
      <c r="B29" s="17">
        <v>44540</v>
      </c>
      <c r="C29" s="8">
        <v>10</v>
      </c>
      <c r="D29" s="8" t="s">
        <v>20</v>
      </c>
      <c r="E29" s="8">
        <v>2021</v>
      </c>
      <c r="F29" s="8">
        <v>26</v>
      </c>
      <c r="G29" s="8" t="s">
        <v>36</v>
      </c>
      <c r="H29" s="8" t="s">
        <v>160</v>
      </c>
      <c r="I29" s="8" t="s">
        <v>29</v>
      </c>
      <c r="J29" s="8" t="s">
        <v>30</v>
      </c>
      <c r="K29" s="8" t="s">
        <v>25</v>
      </c>
      <c r="L29" s="8" t="s">
        <v>26</v>
      </c>
      <c r="M29" s="8" t="s">
        <v>44</v>
      </c>
      <c r="N29" s="8">
        <v>1</v>
      </c>
      <c r="O29" s="18">
        <v>1252</v>
      </c>
      <c r="P29" s="18">
        <v>2295</v>
      </c>
      <c r="Q29" s="18">
        <f t="shared" si="0"/>
        <v>1043</v>
      </c>
      <c r="R29" s="18">
        <f t="shared" si="1"/>
        <v>1252</v>
      </c>
      <c r="S29" s="18">
        <f t="shared" si="2"/>
        <v>2295</v>
      </c>
    </row>
    <row r="30" spans="1:19" x14ac:dyDescent="0.3">
      <c r="A30" s="16" t="s">
        <v>83</v>
      </c>
      <c r="B30" s="17">
        <v>44540</v>
      </c>
      <c r="C30" s="8">
        <v>10</v>
      </c>
      <c r="D30" s="8" t="s">
        <v>20</v>
      </c>
      <c r="E30" s="8">
        <v>2021</v>
      </c>
      <c r="F30" s="8">
        <v>34</v>
      </c>
      <c r="G30" s="8" t="s">
        <v>36</v>
      </c>
      <c r="H30" s="8" t="s">
        <v>160</v>
      </c>
      <c r="I30" s="8" t="s">
        <v>23</v>
      </c>
      <c r="J30" s="8" t="s">
        <v>24</v>
      </c>
      <c r="K30" s="8" t="s">
        <v>25</v>
      </c>
      <c r="L30" s="8" t="s">
        <v>26</v>
      </c>
      <c r="M30" s="8" t="s">
        <v>84</v>
      </c>
      <c r="N30" s="8">
        <v>1</v>
      </c>
      <c r="O30" s="18">
        <v>295</v>
      </c>
      <c r="P30" s="18">
        <v>540</v>
      </c>
      <c r="Q30" s="18">
        <f t="shared" si="0"/>
        <v>245</v>
      </c>
      <c r="R30" s="18">
        <f t="shared" si="1"/>
        <v>295</v>
      </c>
      <c r="S30" s="18">
        <f t="shared" si="2"/>
        <v>540</v>
      </c>
    </row>
    <row r="31" spans="1:19" x14ac:dyDescent="0.3">
      <c r="A31" s="16" t="s">
        <v>85</v>
      </c>
      <c r="B31" s="17">
        <v>44540</v>
      </c>
      <c r="C31" s="8">
        <v>10</v>
      </c>
      <c r="D31" s="8" t="s">
        <v>20</v>
      </c>
      <c r="E31" s="8">
        <v>2021</v>
      </c>
      <c r="F31" s="8">
        <v>34</v>
      </c>
      <c r="G31" s="8" t="s">
        <v>36</v>
      </c>
      <c r="H31" s="8" t="s">
        <v>159</v>
      </c>
      <c r="I31" s="8" t="s">
        <v>23</v>
      </c>
      <c r="J31" s="8" t="s">
        <v>47</v>
      </c>
      <c r="K31" s="8" t="s">
        <v>25</v>
      </c>
      <c r="L31" s="8" t="s">
        <v>26</v>
      </c>
      <c r="M31" s="8" t="s">
        <v>86</v>
      </c>
      <c r="N31" s="8">
        <v>1</v>
      </c>
      <c r="O31" s="18">
        <v>1912</v>
      </c>
      <c r="P31" s="18">
        <v>3400</v>
      </c>
      <c r="Q31" s="18">
        <f t="shared" si="0"/>
        <v>1488</v>
      </c>
      <c r="R31" s="18">
        <f t="shared" si="1"/>
        <v>1912</v>
      </c>
      <c r="S31" s="18">
        <f t="shared" si="2"/>
        <v>3400</v>
      </c>
    </row>
    <row r="32" spans="1:19" x14ac:dyDescent="0.3">
      <c r="A32" s="16" t="s">
        <v>87</v>
      </c>
      <c r="B32" s="17">
        <v>44540</v>
      </c>
      <c r="C32" s="8">
        <v>10</v>
      </c>
      <c r="D32" s="8" t="s">
        <v>20</v>
      </c>
      <c r="E32" s="8">
        <v>2021</v>
      </c>
      <c r="F32" s="8">
        <v>38</v>
      </c>
      <c r="G32" s="8" t="s">
        <v>21</v>
      </c>
      <c r="H32" s="8" t="s">
        <v>160</v>
      </c>
      <c r="I32" s="8" t="s">
        <v>37</v>
      </c>
      <c r="J32" s="8" t="s">
        <v>38</v>
      </c>
      <c r="K32" s="8" t="s">
        <v>25</v>
      </c>
      <c r="L32" s="8" t="s">
        <v>26</v>
      </c>
      <c r="M32" s="8" t="s">
        <v>44</v>
      </c>
      <c r="N32" s="8">
        <v>1</v>
      </c>
      <c r="O32" s="18">
        <v>1252</v>
      </c>
      <c r="P32" s="18">
        <v>2295</v>
      </c>
      <c r="Q32" s="18">
        <f t="shared" si="0"/>
        <v>1043</v>
      </c>
      <c r="R32" s="18">
        <f t="shared" si="1"/>
        <v>1252</v>
      </c>
      <c r="S32" s="18">
        <f t="shared" si="2"/>
        <v>2295</v>
      </c>
    </row>
    <row r="33" spans="1:19" x14ac:dyDescent="0.3">
      <c r="A33" s="16" t="s">
        <v>88</v>
      </c>
      <c r="B33" s="17">
        <v>44541</v>
      </c>
      <c r="C33" s="8">
        <v>11</v>
      </c>
      <c r="D33" s="8" t="s">
        <v>20</v>
      </c>
      <c r="E33" s="8">
        <v>2021</v>
      </c>
      <c r="F33" s="8">
        <v>24</v>
      </c>
      <c r="G33" s="8" t="s">
        <v>43</v>
      </c>
      <c r="H33" s="8" t="s">
        <v>159</v>
      </c>
      <c r="I33" s="8" t="s">
        <v>89</v>
      </c>
      <c r="J33" s="8" t="s">
        <v>90</v>
      </c>
      <c r="K33" s="8" t="s">
        <v>25</v>
      </c>
      <c r="L33" s="8" t="s">
        <v>26</v>
      </c>
      <c r="M33" s="8" t="s">
        <v>44</v>
      </c>
      <c r="N33" s="8">
        <v>3</v>
      </c>
      <c r="O33" s="18">
        <v>1252</v>
      </c>
      <c r="P33" s="18">
        <v>2295</v>
      </c>
      <c r="Q33" s="18">
        <f t="shared" si="0"/>
        <v>3129</v>
      </c>
      <c r="R33" s="18">
        <f t="shared" si="1"/>
        <v>3756</v>
      </c>
      <c r="S33" s="18">
        <f t="shared" si="2"/>
        <v>6885</v>
      </c>
    </row>
    <row r="34" spans="1:19" x14ac:dyDescent="0.3">
      <c r="A34" s="16" t="s">
        <v>91</v>
      </c>
      <c r="B34" s="17">
        <v>44541</v>
      </c>
      <c r="C34" s="8">
        <v>11</v>
      </c>
      <c r="D34" s="8" t="s">
        <v>20</v>
      </c>
      <c r="E34" s="8">
        <v>2021</v>
      </c>
      <c r="F34" s="8">
        <v>41</v>
      </c>
      <c r="G34" s="8" t="s">
        <v>21</v>
      </c>
      <c r="H34" s="8" t="s">
        <v>159</v>
      </c>
      <c r="I34" s="8" t="s">
        <v>37</v>
      </c>
      <c r="J34" s="8" t="s">
        <v>38</v>
      </c>
      <c r="K34" s="8" t="s">
        <v>25</v>
      </c>
      <c r="L34" s="8" t="s">
        <v>26</v>
      </c>
      <c r="M34" s="8" t="s">
        <v>66</v>
      </c>
      <c r="N34" s="8">
        <v>2</v>
      </c>
      <c r="O34" s="18">
        <v>420</v>
      </c>
      <c r="P34" s="18">
        <v>769</v>
      </c>
      <c r="Q34" s="18">
        <f t="shared" si="0"/>
        <v>698</v>
      </c>
      <c r="R34" s="18">
        <f t="shared" si="1"/>
        <v>840</v>
      </c>
      <c r="S34" s="18">
        <f t="shared" si="2"/>
        <v>1538</v>
      </c>
    </row>
    <row r="35" spans="1:19" x14ac:dyDescent="0.3">
      <c r="A35" s="16" t="s">
        <v>92</v>
      </c>
      <c r="B35" s="17">
        <v>44541</v>
      </c>
      <c r="C35" s="8">
        <v>11</v>
      </c>
      <c r="D35" s="8" t="s">
        <v>20</v>
      </c>
      <c r="E35" s="8">
        <v>2021</v>
      </c>
      <c r="F35" s="8">
        <v>27</v>
      </c>
      <c r="G35" s="8" t="s">
        <v>36</v>
      </c>
      <c r="H35" s="8" t="s">
        <v>160</v>
      </c>
      <c r="I35" s="8" t="s">
        <v>59</v>
      </c>
      <c r="J35" s="8" t="s">
        <v>60</v>
      </c>
      <c r="K35" s="8" t="s">
        <v>25</v>
      </c>
      <c r="L35" s="8" t="s">
        <v>26</v>
      </c>
      <c r="M35" s="8" t="s">
        <v>27</v>
      </c>
      <c r="N35" s="8">
        <v>1</v>
      </c>
      <c r="O35" s="18">
        <v>1252</v>
      </c>
      <c r="P35" s="18">
        <v>2295</v>
      </c>
      <c r="Q35" s="18">
        <f t="shared" si="0"/>
        <v>1043</v>
      </c>
      <c r="R35" s="18">
        <f t="shared" si="1"/>
        <v>1252</v>
      </c>
      <c r="S35" s="18">
        <f t="shared" si="2"/>
        <v>2295</v>
      </c>
    </row>
    <row r="36" spans="1:19" x14ac:dyDescent="0.3">
      <c r="A36" s="16" t="s">
        <v>93</v>
      </c>
      <c r="B36" s="17">
        <v>44541</v>
      </c>
      <c r="C36" s="8">
        <v>11</v>
      </c>
      <c r="D36" s="8" t="s">
        <v>20</v>
      </c>
      <c r="E36" s="8">
        <v>2021</v>
      </c>
      <c r="F36" s="8">
        <v>37</v>
      </c>
      <c r="G36" s="8" t="s">
        <v>21</v>
      </c>
      <c r="H36" s="8" t="s">
        <v>160</v>
      </c>
      <c r="I36" s="8" t="s">
        <v>23</v>
      </c>
      <c r="J36" s="8" t="s">
        <v>24</v>
      </c>
      <c r="K36" s="8" t="s">
        <v>25</v>
      </c>
      <c r="L36" s="8" t="s">
        <v>26</v>
      </c>
      <c r="M36" s="8" t="s">
        <v>34</v>
      </c>
      <c r="N36" s="8">
        <v>1</v>
      </c>
      <c r="O36" s="18">
        <v>420</v>
      </c>
      <c r="P36" s="18">
        <v>769</v>
      </c>
      <c r="Q36" s="18">
        <f t="shared" si="0"/>
        <v>349</v>
      </c>
      <c r="R36" s="18">
        <f t="shared" si="1"/>
        <v>420</v>
      </c>
      <c r="S36" s="18">
        <f t="shared" si="2"/>
        <v>769</v>
      </c>
    </row>
    <row r="37" spans="1:19" x14ac:dyDescent="0.3">
      <c r="A37" s="16" t="s">
        <v>94</v>
      </c>
      <c r="B37" s="17">
        <v>44541</v>
      </c>
      <c r="C37" s="8">
        <v>11</v>
      </c>
      <c r="D37" s="8" t="s">
        <v>20</v>
      </c>
      <c r="E37" s="8">
        <v>2021</v>
      </c>
      <c r="F37" s="8">
        <v>38</v>
      </c>
      <c r="G37" s="8" t="s">
        <v>21</v>
      </c>
      <c r="H37" s="8" t="s">
        <v>159</v>
      </c>
      <c r="I37" s="8" t="s">
        <v>23</v>
      </c>
      <c r="J37" s="8" t="s">
        <v>24</v>
      </c>
      <c r="K37" s="8" t="s">
        <v>25</v>
      </c>
      <c r="L37" s="8" t="s">
        <v>26</v>
      </c>
      <c r="M37" s="8" t="s">
        <v>55</v>
      </c>
      <c r="N37" s="8">
        <v>1</v>
      </c>
      <c r="O37" s="18">
        <v>1266</v>
      </c>
      <c r="P37" s="18">
        <v>2320</v>
      </c>
      <c r="Q37" s="18">
        <f t="shared" si="0"/>
        <v>1054</v>
      </c>
      <c r="R37" s="18">
        <f t="shared" si="1"/>
        <v>1266</v>
      </c>
      <c r="S37" s="18">
        <f t="shared" si="2"/>
        <v>2320</v>
      </c>
    </row>
    <row r="38" spans="1:19" x14ac:dyDescent="0.3">
      <c r="A38" s="16" t="s">
        <v>95</v>
      </c>
      <c r="B38" s="17">
        <v>44542</v>
      </c>
      <c r="C38" s="8">
        <v>12</v>
      </c>
      <c r="D38" s="8" t="s">
        <v>20</v>
      </c>
      <c r="E38" s="8">
        <v>2021</v>
      </c>
      <c r="F38" s="8">
        <v>36</v>
      </c>
      <c r="G38" s="8" t="s">
        <v>21</v>
      </c>
      <c r="H38" s="8" t="s">
        <v>159</v>
      </c>
      <c r="I38" s="8" t="s">
        <v>37</v>
      </c>
      <c r="J38" s="8" t="s">
        <v>38</v>
      </c>
      <c r="K38" s="8" t="s">
        <v>25</v>
      </c>
      <c r="L38" s="8" t="s">
        <v>26</v>
      </c>
      <c r="M38" s="8" t="s">
        <v>31</v>
      </c>
      <c r="N38" s="8">
        <v>4</v>
      </c>
      <c r="O38" s="18">
        <v>1266</v>
      </c>
      <c r="P38" s="18">
        <v>2320</v>
      </c>
      <c r="Q38" s="18">
        <f t="shared" si="0"/>
        <v>4216</v>
      </c>
      <c r="R38" s="18">
        <f t="shared" si="1"/>
        <v>5064</v>
      </c>
      <c r="S38" s="18">
        <f t="shared" si="2"/>
        <v>9280</v>
      </c>
    </row>
    <row r="39" spans="1:19" x14ac:dyDescent="0.3">
      <c r="A39" s="16" t="s">
        <v>96</v>
      </c>
      <c r="B39" s="17">
        <v>44542</v>
      </c>
      <c r="C39" s="8">
        <v>12</v>
      </c>
      <c r="D39" s="8" t="s">
        <v>20</v>
      </c>
      <c r="E39" s="8">
        <v>2021</v>
      </c>
      <c r="F39" s="8">
        <v>37</v>
      </c>
      <c r="G39" s="8" t="s">
        <v>21</v>
      </c>
      <c r="H39" s="8" t="s">
        <v>160</v>
      </c>
      <c r="I39" s="8" t="s">
        <v>23</v>
      </c>
      <c r="J39" s="8" t="s">
        <v>24</v>
      </c>
      <c r="K39" s="8" t="s">
        <v>25</v>
      </c>
      <c r="L39" s="8" t="s">
        <v>26</v>
      </c>
      <c r="M39" s="8" t="s">
        <v>34</v>
      </c>
      <c r="N39" s="8">
        <v>4</v>
      </c>
      <c r="O39" s="18">
        <v>420</v>
      </c>
      <c r="P39" s="18">
        <v>769</v>
      </c>
      <c r="Q39" s="18">
        <f t="shared" si="0"/>
        <v>1396</v>
      </c>
      <c r="R39" s="18">
        <f t="shared" si="1"/>
        <v>1680</v>
      </c>
      <c r="S39" s="18">
        <f t="shared" si="2"/>
        <v>3076</v>
      </c>
    </row>
    <row r="40" spans="1:19" x14ac:dyDescent="0.3">
      <c r="A40" s="16" t="s">
        <v>97</v>
      </c>
      <c r="B40" s="17">
        <v>44542</v>
      </c>
      <c r="C40" s="8">
        <v>12</v>
      </c>
      <c r="D40" s="8" t="s">
        <v>20</v>
      </c>
      <c r="E40" s="8">
        <v>2021</v>
      </c>
      <c r="F40" s="8">
        <v>34</v>
      </c>
      <c r="G40" s="8" t="s">
        <v>36</v>
      </c>
      <c r="H40" s="8" t="s">
        <v>160</v>
      </c>
      <c r="I40" s="8" t="s">
        <v>37</v>
      </c>
      <c r="J40" s="8" t="s">
        <v>38</v>
      </c>
      <c r="K40" s="8" t="s">
        <v>25</v>
      </c>
      <c r="L40" s="8" t="s">
        <v>26</v>
      </c>
      <c r="M40" s="8" t="s">
        <v>44</v>
      </c>
      <c r="N40" s="8">
        <v>2</v>
      </c>
      <c r="O40" s="18">
        <v>1252</v>
      </c>
      <c r="P40" s="18">
        <v>2295</v>
      </c>
      <c r="Q40" s="18">
        <f t="shared" si="0"/>
        <v>2086</v>
      </c>
      <c r="R40" s="18">
        <f t="shared" si="1"/>
        <v>2504</v>
      </c>
      <c r="S40" s="18">
        <f t="shared" si="2"/>
        <v>4590</v>
      </c>
    </row>
    <row r="41" spans="1:19" x14ac:dyDescent="0.3">
      <c r="A41" s="16" t="s">
        <v>98</v>
      </c>
      <c r="B41" s="17">
        <v>44542</v>
      </c>
      <c r="C41" s="8">
        <v>12</v>
      </c>
      <c r="D41" s="8" t="s">
        <v>20</v>
      </c>
      <c r="E41" s="8">
        <v>2021</v>
      </c>
      <c r="F41" s="8">
        <v>35</v>
      </c>
      <c r="G41" s="8" t="s">
        <v>21</v>
      </c>
      <c r="H41" s="8" t="s">
        <v>159</v>
      </c>
      <c r="I41" s="8" t="s">
        <v>37</v>
      </c>
      <c r="J41" s="8" t="s">
        <v>76</v>
      </c>
      <c r="K41" s="8" t="s">
        <v>25</v>
      </c>
      <c r="L41" s="8" t="s">
        <v>26</v>
      </c>
      <c r="M41" s="8" t="s">
        <v>31</v>
      </c>
      <c r="N41" s="8">
        <v>1</v>
      </c>
      <c r="O41" s="18">
        <v>1266</v>
      </c>
      <c r="P41" s="18">
        <v>2320</v>
      </c>
      <c r="Q41" s="18">
        <f t="shared" si="0"/>
        <v>1054</v>
      </c>
      <c r="R41" s="18">
        <f t="shared" si="1"/>
        <v>1266</v>
      </c>
      <c r="S41" s="18">
        <f t="shared" si="2"/>
        <v>2320</v>
      </c>
    </row>
    <row r="42" spans="1:19" x14ac:dyDescent="0.3">
      <c r="A42" s="16" t="s">
        <v>99</v>
      </c>
      <c r="B42" s="17">
        <v>44542</v>
      </c>
      <c r="C42" s="8">
        <v>12</v>
      </c>
      <c r="D42" s="8" t="s">
        <v>20</v>
      </c>
      <c r="E42" s="8">
        <v>2021</v>
      </c>
      <c r="F42" s="8">
        <v>38</v>
      </c>
      <c r="G42" s="8" t="s">
        <v>21</v>
      </c>
      <c r="H42" s="8" t="s">
        <v>159</v>
      </c>
      <c r="I42" s="8" t="s">
        <v>23</v>
      </c>
      <c r="J42" s="8" t="s">
        <v>47</v>
      </c>
      <c r="K42" s="8" t="s">
        <v>25</v>
      </c>
      <c r="L42" s="8" t="s">
        <v>26</v>
      </c>
      <c r="M42" s="8" t="s">
        <v>31</v>
      </c>
      <c r="N42" s="8">
        <v>1</v>
      </c>
      <c r="O42" s="18">
        <v>1266</v>
      </c>
      <c r="P42" s="18">
        <v>2320</v>
      </c>
      <c r="Q42" s="18">
        <f t="shared" si="0"/>
        <v>1054</v>
      </c>
      <c r="R42" s="18">
        <f t="shared" si="1"/>
        <v>1266</v>
      </c>
      <c r="S42" s="18">
        <f t="shared" si="2"/>
        <v>2320</v>
      </c>
    </row>
    <row r="43" spans="1:19" x14ac:dyDescent="0.3">
      <c r="A43" s="16" t="s">
        <v>100</v>
      </c>
      <c r="B43" s="17">
        <v>44543</v>
      </c>
      <c r="C43" s="8">
        <v>13</v>
      </c>
      <c r="D43" s="8" t="s">
        <v>20</v>
      </c>
      <c r="E43" s="8">
        <v>2021</v>
      </c>
      <c r="F43" s="8">
        <v>32</v>
      </c>
      <c r="G43" s="8" t="s">
        <v>36</v>
      </c>
      <c r="H43" s="8" t="s">
        <v>159</v>
      </c>
      <c r="I43" s="8" t="s">
        <v>37</v>
      </c>
      <c r="J43" s="8" t="s">
        <v>54</v>
      </c>
      <c r="K43" s="8" t="s">
        <v>25</v>
      </c>
      <c r="L43" s="8" t="s">
        <v>26</v>
      </c>
      <c r="M43" s="8" t="s">
        <v>31</v>
      </c>
      <c r="N43" s="8">
        <v>3</v>
      </c>
      <c r="O43" s="18">
        <v>1266</v>
      </c>
      <c r="P43" s="18">
        <v>2320</v>
      </c>
      <c r="Q43" s="18">
        <f t="shared" si="0"/>
        <v>3162</v>
      </c>
      <c r="R43" s="18">
        <f t="shared" si="1"/>
        <v>3798</v>
      </c>
      <c r="S43" s="18">
        <f t="shared" si="2"/>
        <v>6960</v>
      </c>
    </row>
    <row r="44" spans="1:19" x14ac:dyDescent="0.3">
      <c r="A44" s="16" t="s">
        <v>101</v>
      </c>
      <c r="B44" s="17">
        <v>44543</v>
      </c>
      <c r="C44" s="8">
        <v>13</v>
      </c>
      <c r="D44" s="8" t="s">
        <v>20</v>
      </c>
      <c r="E44" s="8">
        <v>2021</v>
      </c>
      <c r="F44" s="8">
        <v>40</v>
      </c>
      <c r="G44" s="8" t="s">
        <v>21</v>
      </c>
      <c r="H44" s="8" t="s">
        <v>159</v>
      </c>
      <c r="I44" s="8" t="s">
        <v>23</v>
      </c>
      <c r="J44" s="8" t="s">
        <v>24</v>
      </c>
      <c r="K44" s="8" t="s">
        <v>25</v>
      </c>
      <c r="L44" s="8" t="s">
        <v>26</v>
      </c>
      <c r="M44" s="8" t="s">
        <v>102</v>
      </c>
      <c r="N44" s="8">
        <v>1</v>
      </c>
      <c r="O44" s="18">
        <v>308</v>
      </c>
      <c r="P44" s="18">
        <v>565</v>
      </c>
      <c r="Q44" s="18">
        <f t="shared" si="0"/>
        <v>257</v>
      </c>
      <c r="R44" s="18">
        <f t="shared" si="1"/>
        <v>308</v>
      </c>
      <c r="S44" s="18">
        <f t="shared" si="2"/>
        <v>565</v>
      </c>
    </row>
    <row r="45" spans="1:19" x14ac:dyDescent="0.3">
      <c r="A45" s="16" t="s">
        <v>103</v>
      </c>
      <c r="B45" s="17">
        <v>44543</v>
      </c>
      <c r="C45" s="8">
        <v>13</v>
      </c>
      <c r="D45" s="8" t="s">
        <v>20</v>
      </c>
      <c r="E45" s="8">
        <v>2021</v>
      </c>
      <c r="F45" s="8">
        <v>44</v>
      </c>
      <c r="G45" s="8" t="s">
        <v>21</v>
      </c>
      <c r="H45" s="8" t="s">
        <v>159</v>
      </c>
      <c r="I45" s="8" t="s">
        <v>29</v>
      </c>
      <c r="J45" s="8" t="s">
        <v>30</v>
      </c>
      <c r="K45" s="8" t="s">
        <v>25</v>
      </c>
      <c r="L45" s="8" t="s">
        <v>26</v>
      </c>
      <c r="M45" s="8" t="s">
        <v>44</v>
      </c>
      <c r="N45" s="8">
        <v>1</v>
      </c>
      <c r="O45" s="18">
        <v>1252</v>
      </c>
      <c r="P45" s="18">
        <v>2295</v>
      </c>
      <c r="Q45" s="18">
        <f t="shared" si="0"/>
        <v>1043</v>
      </c>
      <c r="R45" s="18">
        <f t="shared" si="1"/>
        <v>1252</v>
      </c>
      <c r="S45" s="18">
        <f t="shared" si="2"/>
        <v>2295</v>
      </c>
    </row>
    <row r="46" spans="1:19" x14ac:dyDescent="0.3">
      <c r="A46" s="16" t="s">
        <v>104</v>
      </c>
      <c r="B46" s="17">
        <v>44543</v>
      </c>
      <c r="C46" s="8">
        <v>13</v>
      </c>
      <c r="D46" s="8" t="s">
        <v>20</v>
      </c>
      <c r="E46" s="8">
        <v>2021</v>
      </c>
      <c r="F46" s="8">
        <v>49</v>
      </c>
      <c r="G46" s="8" t="s">
        <v>21</v>
      </c>
      <c r="H46" s="8" t="s">
        <v>160</v>
      </c>
      <c r="I46" s="8" t="s">
        <v>29</v>
      </c>
      <c r="J46" s="8" t="s">
        <v>30</v>
      </c>
      <c r="K46" s="8" t="s">
        <v>25</v>
      </c>
      <c r="L46" s="8" t="s">
        <v>26</v>
      </c>
      <c r="M46" s="8" t="s">
        <v>44</v>
      </c>
      <c r="N46" s="8">
        <v>1</v>
      </c>
      <c r="O46" s="18">
        <v>1252</v>
      </c>
      <c r="P46" s="18">
        <v>2295</v>
      </c>
      <c r="Q46" s="18">
        <f t="shared" si="0"/>
        <v>1043</v>
      </c>
      <c r="R46" s="18">
        <f t="shared" si="1"/>
        <v>1252</v>
      </c>
      <c r="S46" s="18">
        <f t="shared" si="2"/>
        <v>2295</v>
      </c>
    </row>
    <row r="47" spans="1:19" x14ac:dyDescent="0.3">
      <c r="A47" s="16" t="s">
        <v>105</v>
      </c>
      <c r="B47" s="17">
        <v>44544</v>
      </c>
      <c r="C47" s="8">
        <v>14</v>
      </c>
      <c r="D47" s="8" t="s">
        <v>20</v>
      </c>
      <c r="E47" s="8">
        <v>2021</v>
      </c>
      <c r="F47" s="8">
        <v>30</v>
      </c>
      <c r="G47" s="8" t="s">
        <v>36</v>
      </c>
      <c r="H47" s="8" t="s">
        <v>159</v>
      </c>
      <c r="I47" s="8" t="s">
        <v>23</v>
      </c>
      <c r="J47" s="8" t="s">
        <v>47</v>
      </c>
      <c r="K47" s="8" t="s">
        <v>25</v>
      </c>
      <c r="L47" s="8" t="s">
        <v>26</v>
      </c>
      <c r="M47" s="8" t="s">
        <v>55</v>
      </c>
      <c r="N47" s="8">
        <v>2</v>
      </c>
      <c r="O47" s="18">
        <v>1266</v>
      </c>
      <c r="P47" s="18">
        <v>2320</v>
      </c>
      <c r="Q47" s="18">
        <f t="shared" si="0"/>
        <v>2108</v>
      </c>
      <c r="R47" s="18">
        <f t="shared" si="1"/>
        <v>2532</v>
      </c>
      <c r="S47" s="18">
        <f t="shared" si="2"/>
        <v>4640</v>
      </c>
    </row>
    <row r="48" spans="1:19" x14ac:dyDescent="0.3">
      <c r="A48" s="16" t="s">
        <v>106</v>
      </c>
      <c r="B48" s="17">
        <v>44544</v>
      </c>
      <c r="C48" s="8">
        <v>14</v>
      </c>
      <c r="D48" s="8" t="s">
        <v>20</v>
      </c>
      <c r="E48" s="8">
        <v>2021</v>
      </c>
      <c r="F48" s="8">
        <v>32</v>
      </c>
      <c r="G48" s="8" t="s">
        <v>36</v>
      </c>
      <c r="H48" s="8" t="s">
        <v>160</v>
      </c>
      <c r="I48" s="8" t="s">
        <v>23</v>
      </c>
      <c r="J48" s="8" t="s">
        <v>24</v>
      </c>
      <c r="K48" s="8" t="s">
        <v>25</v>
      </c>
      <c r="L48" s="8" t="s">
        <v>26</v>
      </c>
      <c r="M48" s="8" t="s">
        <v>27</v>
      </c>
      <c r="N48" s="8">
        <v>1</v>
      </c>
      <c r="O48" s="18">
        <v>1252</v>
      </c>
      <c r="P48" s="18">
        <v>2295</v>
      </c>
      <c r="Q48" s="18">
        <f t="shared" si="0"/>
        <v>1043</v>
      </c>
      <c r="R48" s="18">
        <f t="shared" si="1"/>
        <v>1252</v>
      </c>
      <c r="S48" s="18">
        <f t="shared" si="2"/>
        <v>2295</v>
      </c>
    </row>
    <row r="49" spans="1:19" x14ac:dyDescent="0.3">
      <c r="A49" s="16" t="s">
        <v>107</v>
      </c>
      <c r="B49" s="17">
        <v>44544</v>
      </c>
      <c r="C49" s="8">
        <v>14</v>
      </c>
      <c r="D49" s="8" t="s">
        <v>20</v>
      </c>
      <c r="E49" s="8">
        <v>2021</v>
      </c>
      <c r="F49" s="8">
        <v>32</v>
      </c>
      <c r="G49" s="8" t="s">
        <v>36</v>
      </c>
      <c r="H49" s="8" t="s">
        <v>159</v>
      </c>
      <c r="I49" s="8" t="s">
        <v>37</v>
      </c>
      <c r="J49" s="8" t="s">
        <v>76</v>
      </c>
      <c r="K49" s="8" t="s">
        <v>25</v>
      </c>
      <c r="L49" s="8" t="s">
        <v>26</v>
      </c>
      <c r="M49" s="8" t="s">
        <v>34</v>
      </c>
      <c r="N49" s="8">
        <v>1</v>
      </c>
      <c r="O49" s="18">
        <v>420</v>
      </c>
      <c r="P49" s="18">
        <v>769</v>
      </c>
      <c r="Q49" s="18">
        <f t="shared" si="0"/>
        <v>349</v>
      </c>
      <c r="R49" s="18">
        <f t="shared" si="1"/>
        <v>420</v>
      </c>
      <c r="S49" s="18">
        <f t="shared" si="2"/>
        <v>769</v>
      </c>
    </row>
    <row r="50" spans="1:19" x14ac:dyDescent="0.3">
      <c r="A50" s="16" t="s">
        <v>108</v>
      </c>
      <c r="B50" s="17">
        <v>44545</v>
      </c>
      <c r="C50" s="8">
        <v>15</v>
      </c>
      <c r="D50" s="8" t="s">
        <v>20</v>
      </c>
      <c r="E50" s="8">
        <v>2021</v>
      </c>
      <c r="F50" s="8">
        <v>29</v>
      </c>
      <c r="G50" s="8" t="s">
        <v>36</v>
      </c>
      <c r="H50" s="8" t="s">
        <v>159</v>
      </c>
      <c r="I50" s="8" t="s">
        <v>23</v>
      </c>
      <c r="J50" s="8" t="s">
        <v>24</v>
      </c>
      <c r="K50" s="8" t="s">
        <v>25</v>
      </c>
      <c r="L50" s="8" t="s">
        <v>26</v>
      </c>
      <c r="M50" s="8" t="s">
        <v>31</v>
      </c>
      <c r="N50" s="8">
        <v>1</v>
      </c>
      <c r="O50" s="18">
        <v>1266</v>
      </c>
      <c r="P50" s="18">
        <v>2320</v>
      </c>
      <c r="Q50" s="18">
        <f t="shared" si="0"/>
        <v>1054</v>
      </c>
      <c r="R50" s="18">
        <f t="shared" si="1"/>
        <v>1266</v>
      </c>
      <c r="S50" s="18">
        <f t="shared" si="2"/>
        <v>2320</v>
      </c>
    </row>
    <row r="51" spans="1:19" x14ac:dyDescent="0.3">
      <c r="A51" s="16" t="s">
        <v>109</v>
      </c>
      <c r="B51" s="17">
        <v>44546</v>
      </c>
      <c r="C51" s="8">
        <v>16</v>
      </c>
      <c r="D51" s="8" t="s">
        <v>20</v>
      </c>
      <c r="E51" s="8">
        <v>2021</v>
      </c>
      <c r="F51" s="8">
        <v>33</v>
      </c>
      <c r="G51" s="8" t="s">
        <v>36</v>
      </c>
      <c r="H51" s="8" t="s">
        <v>159</v>
      </c>
      <c r="I51" s="8" t="s">
        <v>37</v>
      </c>
      <c r="J51" s="8" t="s">
        <v>38</v>
      </c>
      <c r="K51" s="8" t="s">
        <v>25</v>
      </c>
      <c r="L51" s="8" t="s">
        <v>26</v>
      </c>
      <c r="M51" s="8" t="s">
        <v>44</v>
      </c>
      <c r="N51" s="8">
        <v>2</v>
      </c>
      <c r="O51" s="18">
        <v>1252</v>
      </c>
      <c r="P51" s="18">
        <v>2295</v>
      </c>
      <c r="Q51" s="18">
        <f t="shared" si="0"/>
        <v>2086</v>
      </c>
      <c r="R51" s="18">
        <f t="shared" si="1"/>
        <v>2504</v>
      </c>
      <c r="S51" s="18">
        <f t="shared" si="2"/>
        <v>4590</v>
      </c>
    </row>
    <row r="52" spans="1:19" x14ac:dyDescent="0.3">
      <c r="A52" s="16" t="s">
        <v>110</v>
      </c>
      <c r="B52" s="17">
        <v>44546</v>
      </c>
      <c r="C52" s="8">
        <v>16</v>
      </c>
      <c r="D52" s="8" t="s">
        <v>20</v>
      </c>
      <c r="E52" s="8">
        <v>2021</v>
      </c>
      <c r="F52" s="8">
        <v>38</v>
      </c>
      <c r="G52" s="8" t="s">
        <v>21</v>
      </c>
      <c r="H52" s="8" t="s">
        <v>160</v>
      </c>
      <c r="I52" s="8" t="s">
        <v>37</v>
      </c>
      <c r="J52" s="8" t="s">
        <v>38</v>
      </c>
      <c r="K52" s="8" t="s">
        <v>25</v>
      </c>
      <c r="L52" s="8" t="s">
        <v>26</v>
      </c>
      <c r="M52" s="8" t="s">
        <v>44</v>
      </c>
      <c r="N52" s="8">
        <v>2</v>
      </c>
      <c r="O52" s="18">
        <v>1252</v>
      </c>
      <c r="P52" s="18">
        <v>2295</v>
      </c>
      <c r="Q52" s="18">
        <f t="shared" si="0"/>
        <v>2086</v>
      </c>
      <c r="R52" s="18">
        <f t="shared" si="1"/>
        <v>2504</v>
      </c>
      <c r="S52" s="18">
        <f t="shared" si="2"/>
        <v>4590</v>
      </c>
    </row>
    <row r="53" spans="1:19" x14ac:dyDescent="0.3">
      <c r="A53" s="16" t="s">
        <v>111</v>
      </c>
      <c r="B53" s="17">
        <v>44546</v>
      </c>
      <c r="C53" s="8">
        <v>16</v>
      </c>
      <c r="D53" s="8" t="s">
        <v>20</v>
      </c>
      <c r="E53" s="8">
        <v>2021</v>
      </c>
      <c r="F53" s="8">
        <v>27</v>
      </c>
      <c r="G53" s="8" t="s">
        <v>36</v>
      </c>
      <c r="H53" s="8" t="s">
        <v>159</v>
      </c>
      <c r="I53" s="8" t="s">
        <v>89</v>
      </c>
      <c r="J53" s="8" t="s">
        <v>112</v>
      </c>
      <c r="K53" s="8" t="s">
        <v>25</v>
      </c>
      <c r="L53" s="8" t="s">
        <v>26</v>
      </c>
      <c r="M53" s="8" t="s">
        <v>113</v>
      </c>
      <c r="N53" s="8">
        <v>1</v>
      </c>
      <c r="O53" s="18">
        <v>1266</v>
      </c>
      <c r="P53" s="18">
        <v>2320</v>
      </c>
      <c r="Q53" s="18">
        <f t="shared" si="0"/>
        <v>1054</v>
      </c>
      <c r="R53" s="18">
        <f t="shared" si="1"/>
        <v>1266</v>
      </c>
      <c r="S53" s="18">
        <f t="shared" si="2"/>
        <v>2320</v>
      </c>
    </row>
    <row r="54" spans="1:19" x14ac:dyDescent="0.3">
      <c r="A54" s="16" t="s">
        <v>114</v>
      </c>
      <c r="B54" s="17">
        <v>44547</v>
      </c>
      <c r="C54" s="8">
        <v>17</v>
      </c>
      <c r="D54" s="8" t="s">
        <v>20</v>
      </c>
      <c r="E54" s="8">
        <v>2021</v>
      </c>
      <c r="F54" s="8">
        <v>37</v>
      </c>
      <c r="G54" s="8" t="s">
        <v>21</v>
      </c>
      <c r="H54" s="8" t="s">
        <v>159</v>
      </c>
      <c r="I54" s="8" t="s">
        <v>23</v>
      </c>
      <c r="J54" s="8" t="s">
        <v>47</v>
      </c>
      <c r="K54" s="8" t="s">
        <v>25</v>
      </c>
      <c r="L54" s="8" t="s">
        <v>26</v>
      </c>
      <c r="M54" s="8" t="s">
        <v>55</v>
      </c>
      <c r="N54" s="8">
        <v>2</v>
      </c>
      <c r="O54" s="18">
        <v>1266</v>
      </c>
      <c r="P54" s="18">
        <v>2320</v>
      </c>
      <c r="Q54" s="18">
        <f t="shared" si="0"/>
        <v>2108</v>
      </c>
      <c r="R54" s="18">
        <f t="shared" si="1"/>
        <v>2532</v>
      </c>
      <c r="S54" s="18">
        <f t="shared" si="2"/>
        <v>4640</v>
      </c>
    </row>
    <row r="55" spans="1:19" x14ac:dyDescent="0.3">
      <c r="A55" s="16" t="s">
        <v>115</v>
      </c>
      <c r="B55" s="17">
        <v>44547</v>
      </c>
      <c r="C55" s="8">
        <v>17</v>
      </c>
      <c r="D55" s="8" t="s">
        <v>20</v>
      </c>
      <c r="E55" s="8">
        <v>2021</v>
      </c>
      <c r="F55" s="8">
        <v>31</v>
      </c>
      <c r="G55" s="8" t="s">
        <v>36</v>
      </c>
      <c r="H55" s="8" t="s">
        <v>160</v>
      </c>
      <c r="I55" s="8" t="s">
        <v>37</v>
      </c>
      <c r="J55" s="8" t="s">
        <v>38</v>
      </c>
      <c r="K55" s="8" t="s">
        <v>25</v>
      </c>
      <c r="L55" s="8" t="s">
        <v>26</v>
      </c>
      <c r="M55" s="8" t="s">
        <v>39</v>
      </c>
      <c r="N55" s="8">
        <v>1</v>
      </c>
      <c r="O55" s="18">
        <v>420</v>
      </c>
      <c r="P55" s="18">
        <v>769</v>
      </c>
      <c r="Q55" s="18">
        <f t="shared" si="0"/>
        <v>349</v>
      </c>
      <c r="R55" s="18">
        <f t="shared" si="1"/>
        <v>420</v>
      </c>
      <c r="S55" s="18">
        <f t="shared" si="2"/>
        <v>769</v>
      </c>
    </row>
    <row r="56" spans="1:19" x14ac:dyDescent="0.3">
      <c r="A56" s="16" t="s">
        <v>116</v>
      </c>
      <c r="B56" s="17">
        <v>44547</v>
      </c>
      <c r="C56" s="8">
        <v>17</v>
      </c>
      <c r="D56" s="8" t="s">
        <v>20</v>
      </c>
      <c r="E56" s="8">
        <v>2021</v>
      </c>
      <c r="F56" s="8">
        <v>42</v>
      </c>
      <c r="G56" s="8" t="s">
        <v>21</v>
      </c>
      <c r="H56" s="8" t="s">
        <v>159</v>
      </c>
      <c r="I56" s="8" t="s">
        <v>51</v>
      </c>
      <c r="J56" s="8" t="s">
        <v>52</v>
      </c>
      <c r="K56" s="8" t="s">
        <v>25</v>
      </c>
      <c r="L56" s="8" t="s">
        <v>26</v>
      </c>
      <c r="M56" s="8" t="s">
        <v>113</v>
      </c>
      <c r="N56" s="8">
        <v>1</v>
      </c>
      <c r="O56" s="18">
        <v>1266</v>
      </c>
      <c r="P56" s="18">
        <v>2320</v>
      </c>
      <c r="Q56" s="18">
        <f t="shared" si="0"/>
        <v>1054</v>
      </c>
      <c r="R56" s="18">
        <f t="shared" si="1"/>
        <v>1266</v>
      </c>
      <c r="S56" s="18">
        <f t="shared" si="2"/>
        <v>2320</v>
      </c>
    </row>
    <row r="57" spans="1:19" x14ac:dyDescent="0.3">
      <c r="A57" s="16" t="s">
        <v>117</v>
      </c>
      <c r="B57" s="17">
        <v>44548</v>
      </c>
      <c r="C57" s="8">
        <v>18</v>
      </c>
      <c r="D57" s="8" t="s">
        <v>20</v>
      </c>
      <c r="E57" s="8">
        <v>2021</v>
      </c>
      <c r="F57" s="8">
        <v>35</v>
      </c>
      <c r="G57" s="8" t="s">
        <v>21</v>
      </c>
      <c r="H57" s="8" t="s">
        <v>159</v>
      </c>
      <c r="I57" s="8" t="s">
        <v>37</v>
      </c>
      <c r="J57" s="8" t="s">
        <v>38</v>
      </c>
      <c r="K57" s="8" t="s">
        <v>25</v>
      </c>
      <c r="L57" s="8" t="s">
        <v>26</v>
      </c>
      <c r="M57" s="8" t="s">
        <v>69</v>
      </c>
      <c r="N57" s="8">
        <v>4</v>
      </c>
      <c r="O57" s="18">
        <v>308</v>
      </c>
      <c r="P57" s="18">
        <v>565</v>
      </c>
      <c r="Q57" s="18">
        <f t="shared" si="0"/>
        <v>1028</v>
      </c>
      <c r="R57" s="18">
        <f t="shared" si="1"/>
        <v>1232</v>
      </c>
      <c r="S57" s="18">
        <f t="shared" si="2"/>
        <v>2260</v>
      </c>
    </row>
    <row r="58" spans="1:19" x14ac:dyDescent="0.3">
      <c r="A58" s="16" t="s">
        <v>118</v>
      </c>
      <c r="B58" s="17">
        <v>44548</v>
      </c>
      <c r="C58" s="8">
        <v>18</v>
      </c>
      <c r="D58" s="8" t="s">
        <v>20</v>
      </c>
      <c r="E58" s="8">
        <v>2021</v>
      </c>
      <c r="F58" s="8">
        <v>38</v>
      </c>
      <c r="G58" s="8" t="s">
        <v>21</v>
      </c>
      <c r="H58" s="8" t="s">
        <v>159</v>
      </c>
      <c r="I58" s="8" t="s">
        <v>51</v>
      </c>
      <c r="J58" s="8" t="s">
        <v>52</v>
      </c>
      <c r="K58" s="8" t="s">
        <v>25</v>
      </c>
      <c r="L58" s="8" t="s">
        <v>26</v>
      </c>
      <c r="M58" s="8" t="s">
        <v>113</v>
      </c>
      <c r="N58" s="8">
        <v>4</v>
      </c>
      <c r="O58" s="18">
        <v>1266</v>
      </c>
      <c r="P58" s="18">
        <v>2320</v>
      </c>
      <c r="Q58" s="18">
        <f t="shared" si="0"/>
        <v>4216</v>
      </c>
      <c r="R58" s="18">
        <f t="shared" si="1"/>
        <v>5064</v>
      </c>
      <c r="S58" s="18">
        <f t="shared" si="2"/>
        <v>9280</v>
      </c>
    </row>
    <row r="59" spans="1:19" x14ac:dyDescent="0.3">
      <c r="A59" s="16" t="s">
        <v>119</v>
      </c>
      <c r="B59" s="17">
        <v>44548</v>
      </c>
      <c r="C59" s="8">
        <v>18</v>
      </c>
      <c r="D59" s="8" t="s">
        <v>20</v>
      </c>
      <c r="E59" s="8">
        <v>2021</v>
      </c>
      <c r="F59" s="8">
        <v>24</v>
      </c>
      <c r="G59" s="8" t="s">
        <v>43</v>
      </c>
      <c r="H59" s="8" t="s">
        <v>159</v>
      </c>
      <c r="I59" s="8" t="s">
        <v>89</v>
      </c>
      <c r="J59" s="8" t="s">
        <v>120</v>
      </c>
      <c r="K59" s="8" t="s">
        <v>25</v>
      </c>
      <c r="L59" s="8" t="s">
        <v>26</v>
      </c>
      <c r="M59" s="8" t="s">
        <v>55</v>
      </c>
      <c r="N59" s="8">
        <v>3</v>
      </c>
      <c r="O59" s="18">
        <v>1266</v>
      </c>
      <c r="P59" s="18">
        <v>2320</v>
      </c>
      <c r="Q59" s="18">
        <f t="shared" si="0"/>
        <v>3162</v>
      </c>
      <c r="R59" s="18">
        <f t="shared" si="1"/>
        <v>3798</v>
      </c>
      <c r="S59" s="18">
        <f t="shared" si="2"/>
        <v>6960</v>
      </c>
    </row>
    <row r="60" spans="1:19" x14ac:dyDescent="0.3">
      <c r="A60" s="16" t="s">
        <v>121</v>
      </c>
      <c r="B60" s="17">
        <v>44548</v>
      </c>
      <c r="C60" s="8">
        <v>18</v>
      </c>
      <c r="D60" s="8" t="s">
        <v>20</v>
      </c>
      <c r="E60" s="8">
        <v>2021</v>
      </c>
      <c r="F60" s="8">
        <v>26</v>
      </c>
      <c r="G60" s="8" t="s">
        <v>36</v>
      </c>
      <c r="H60" s="8" t="s">
        <v>159</v>
      </c>
      <c r="I60" s="8" t="s">
        <v>29</v>
      </c>
      <c r="J60" s="8" t="s">
        <v>30</v>
      </c>
      <c r="K60" s="8" t="s">
        <v>25</v>
      </c>
      <c r="L60" s="8" t="s">
        <v>26</v>
      </c>
      <c r="M60" s="8" t="s">
        <v>39</v>
      </c>
      <c r="N60" s="8">
        <v>3</v>
      </c>
      <c r="O60" s="18">
        <v>420</v>
      </c>
      <c r="P60" s="18">
        <v>769</v>
      </c>
      <c r="Q60" s="18">
        <f t="shared" si="0"/>
        <v>1047</v>
      </c>
      <c r="R60" s="18">
        <f t="shared" si="1"/>
        <v>1260</v>
      </c>
      <c r="S60" s="18">
        <f t="shared" si="2"/>
        <v>2307</v>
      </c>
    </row>
    <row r="61" spans="1:19" x14ac:dyDescent="0.3">
      <c r="A61" s="16" t="s">
        <v>122</v>
      </c>
      <c r="B61" s="17">
        <v>44548</v>
      </c>
      <c r="C61" s="8">
        <v>18</v>
      </c>
      <c r="D61" s="8" t="s">
        <v>20</v>
      </c>
      <c r="E61" s="8">
        <v>2021</v>
      </c>
      <c r="F61" s="8">
        <v>39</v>
      </c>
      <c r="G61" s="8" t="s">
        <v>21</v>
      </c>
      <c r="H61" s="8" t="s">
        <v>160</v>
      </c>
      <c r="I61" s="8" t="s">
        <v>23</v>
      </c>
      <c r="J61" s="8" t="s">
        <v>24</v>
      </c>
      <c r="K61" s="8" t="s">
        <v>25</v>
      </c>
      <c r="L61" s="8" t="s">
        <v>26</v>
      </c>
      <c r="M61" s="8" t="s">
        <v>62</v>
      </c>
      <c r="N61" s="8">
        <v>3</v>
      </c>
      <c r="O61" s="18">
        <v>1252</v>
      </c>
      <c r="P61" s="18">
        <v>2295</v>
      </c>
      <c r="Q61" s="18">
        <f t="shared" si="0"/>
        <v>3129</v>
      </c>
      <c r="R61" s="18">
        <f t="shared" si="1"/>
        <v>3756</v>
      </c>
      <c r="S61" s="18">
        <f t="shared" si="2"/>
        <v>6885</v>
      </c>
    </row>
    <row r="62" spans="1:19" x14ac:dyDescent="0.3">
      <c r="A62" s="16" t="s">
        <v>123</v>
      </c>
      <c r="B62" s="17">
        <v>44548</v>
      </c>
      <c r="C62" s="8">
        <v>18</v>
      </c>
      <c r="D62" s="8" t="s">
        <v>20</v>
      </c>
      <c r="E62" s="8">
        <v>2021</v>
      </c>
      <c r="F62" s="8">
        <v>26</v>
      </c>
      <c r="G62" s="8" t="s">
        <v>36</v>
      </c>
      <c r="H62" s="8" t="s">
        <v>160</v>
      </c>
      <c r="I62" s="8" t="s">
        <v>89</v>
      </c>
      <c r="J62" s="8" t="s">
        <v>90</v>
      </c>
      <c r="K62" s="8" t="s">
        <v>25</v>
      </c>
      <c r="L62" s="8" t="s">
        <v>26</v>
      </c>
      <c r="M62" s="8" t="s">
        <v>27</v>
      </c>
      <c r="N62" s="8">
        <v>1</v>
      </c>
      <c r="O62" s="18">
        <v>1252</v>
      </c>
      <c r="P62" s="18">
        <v>2295</v>
      </c>
      <c r="Q62" s="18">
        <f t="shared" si="0"/>
        <v>1043</v>
      </c>
      <c r="R62" s="18">
        <f t="shared" si="1"/>
        <v>1252</v>
      </c>
      <c r="S62" s="18">
        <f t="shared" si="2"/>
        <v>2295</v>
      </c>
    </row>
    <row r="63" spans="1:19" x14ac:dyDescent="0.3">
      <c r="A63" s="16" t="s">
        <v>124</v>
      </c>
      <c r="B63" s="17">
        <v>44548</v>
      </c>
      <c r="C63" s="8">
        <v>18</v>
      </c>
      <c r="D63" s="8" t="s">
        <v>20</v>
      </c>
      <c r="E63" s="8">
        <v>2021</v>
      </c>
      <c r="F63" s="8">
        <v>36</v>
      </c>
      <c r="G63" s="8" t="s">
        <v>21</v>
      </c>
      <c r="H63" s="8" t="s">
        <v>160</v>
      </c>
      <c r="I63" s="8" t="s">
        <v>23</v>
      </c>
      <c r="J63" s="8" t="s">
        <v>47</v>
      </c>
      <c r="K63" s="8" t="s">
        <v>25</v>
      </c>
      <c r="L63" s="8" t="s">
        <v>26</v>
      </c>
      <c r="M63" s="8" t="s">
        <v>55</v>
      </c>
      <c r="N63" s="8">
        <v>1</v>
      </c>
      <c r="O63" s="18">
        <v>1266</v>
      </c>
      <c r="P63" s="18">
        <v>2320</v>
      </c>
      <c r="Q63" s="18">
        <f t="shared" si="0"/>
        <v>1054</v>
      </c>
      <c r="R63" s="18">
        <f t="shared" si="1"/>
        <v>1266</v>
      </c>
      <c r="S63" s="18">
        <f t="shared" si="2"/>
        <v>2320</v>
      </c>
    </row>
    <row r="64" spans="1:19" x14ac:dyDescent="0.3">
      <c r="A64" s="16" t="s">
        <v>125</v>
      </c>
      <c r="B64" s="17">
        <v>44549</v>
      </c>
      <c r="C64" s="8">
        <v>19</v>
      </c>
      <c r="D64" s="8" t="s">
        <v>20</v>
      </c>
      <c r="E64" s="8">
        <v>2021</v>
      </c>
      <c r="F64" s="8">
        <v>17</v>
      </c>
      <c r="G64" s="8" t="s">
        <v>43</v>
      </c>
      <c r="H64" s="8" t="s">
        <v>160</v>
      </c>
      <c r="I64" s="8" t="s">
        <v>89</v>
      </c>
      <c r="J64" s="8" t="s">
        <v>126</v>
      </c>
      <c r="K64" s="8" t="s">
        <v>25</v>
      </c>
      <c r="L64" s="8" t="s">
        <v>26</v>
      </c>
      <c r="M64" s="8" t="s">
        <v>113</v>
      </c>
      <c r="N64" s="8">
        <v>4</v>
      </c>
      <c r="O64" s="18">
        <v>1266</v>
      </c>
      <c r="P64" s="18">
        <v>2320</v>
      </c>
      <c r="Q64" s="18">
        <f t="shared" si="0"/>
        <v>4216</v>
      </c>
      <c r="R64" s="18">
        <f t="shared" si="1"/>
        <v>5064</v>
      </c>
      <c r="S64" s="18">
        <f t="shared" si="2"/>
        <v>9280</v>
      </c>
    </row>
    <row r="65" spans="1:19" x14ac:dyDescent="0.3">
      <c r="A65" s="16" t="s">
        <v>127</v>
      </c>
      <c r="B65" s="17">
        <v>44549</v>
      </c>
      <c r="C65" s="8">
        <v>19</v>
      </c>
      <c r="D65" s="8" t="s">
        <v>20</v>
      </c>
      <c r="E65" s="8">
        <v>2021</v>
      </c>
      <c r="F65" s="8">
        <v>19</v>
      </c>
      <c r="G65" s="8" t="s">
        <v>43</v>
      </c>
      <c r="H65" s="8" t="s">
        <v>159</v>
      </c>
      <c r="I65" s="8" t="s">
        <v>37</v>
      </c>
      <c r="J65" s="8" t="s">
        <v>76</v>
      </c>
      <c r="K65" s="8" t="s">
        <v>25</v>
      </c>
      <c r="L65" s="8" t="s">
        <v>26</v>
      </c>
      <c r="M65" s="8" t="s">
        <v>128</v>
      </c>
      <c r="N65" s="8">
        <v>4</v>
      </c>
      <c r="O65" s="18">
        <v>295</v>
      </c>
      <c r="P65" s="18">
        <v>540</v>
      </c>
      <c r="Q65" s="18">
        <f t="shared" si="0"/>
        <v>980</v>
      </c>
      <c r="R65" s="18">
        <f t="shared" si="1"/>
        <v>1180</v>
      </c>
      <c r="S65" s="18">
        <f t="shared" si="2"/>
        <v>2160</v>
      </c>
    </row>
    <row r="66" spans="1:19" x14ac:dyDescent="0.3">
      <c r="A66" s="16" t="s">
        <v>129</v>
      </c>
      <c r="B66" s="17">
        <v>44549</v>
      </c>
      <c r="C66" s="8">
        <v>19</v>
      </c>
      <c r="D66" s="8" t="s">
        <v>20</v>
      </c>
      <c r="E66" s="8">
        <v>2021</v>
      </c>
      <c r="F66" s="8">
        <v>25</v>
      </c>
      <c r="G66" s="8" t="s">
        <v>36</v>
      </c>
      <c r="H66" s="8" t="s">
        <v>160</v>
      </c>
      <c r="I66" s="8" t="s">
        <v>89</v>
      </c>
      <c r="J66" s="8" t="s">
        <v>90</v>
      </c>
      <c r="K66" s="8" t="s">
        <v>25</v>
      </c>
      <c r="L66" s="8" t="s">
        <v>26</v>
      </c>
      <c r="M66" s="8" t="s">
        <v>44</v>
      </c>
      <c r="N66" s="8">
        <v>4</v>
      </c>
      <c r="O66" s="18">
        <v>1252</v>
      </c>
      <c r="P66" s="18">
        <v>2295</v>
      </c>
      <c r="Q66" s="18">
        <f t="shared" si="0"/>
        <v>4172</v>
      </c>
      <c r="R66" s="18">
        <f t="shared" si="1"/>
        <v>5008</v>
      </c>
      <c r="S66" s="18">
        <f t="shared" si="2"/>
        <v>9180</v>
      </c>
    </row>
    <row r="67" spans="1:19" x14ac:dyDescent="0.3">
      <c r="A67" s="16" t="s">
        <v>130</v>
      </c>
      <c r="B67" s="17">
        <v>44549</v>
      </c>
      <c r="C67" s="8">
        <v>19</v>
      </c>
      <c r="D67" s="8" t="s">
        <v>20</v>
      </c>
      <c r="E67" s="8">
        <v>2021</v>
      </c>
      <c r="F67" s="8">
        <v>35</v>
      </c>
      <c r="G67" s="8" t="s">
        <v>21</v>
      </c>
      <c r="H67" s="8" t="s">
        <v>159</v>
      </c>
      <c r="I67" s="8" t="s">
        <v>23</v>
      </c>
      <c r="J67" s="8" t="s">
        <v>72</v>
      </c>
      <c r="K67" s="8" t="s">
        <v>25</v>
      </c>
      <c r="L67" s="8" t="s">
        <v>26</v>
      </c>
      <c r="M67" s="8" t="s">
        <v>131</v>
      </c>
      <c r="N67" s="8">
        <v>4</v>
      </c>
      <c r="O67" s="18">
        <v>1898</v>
      </c>
      <c r="P67" s="18">
        <v>3375</v>
      </c>
      <c r="Q67" s="18">
        <f t="shared" ref="Q67:Q90" si="3">S67-R67</f>
        <v>5908</v>
      </c>
      <c r="R67" s="18">
        <f t="shared" ref="R67:R90" si="4">N67*O67</f>
        <v>7592</v>
      </c>
      <c r="S67" s="18">
        <f t="shared" ref="S67:S90" si="5">N67*P67</f>
        <v>13500</v>
      </c>
    </row>
    <row r="68" spans="1:19" x14ac:dyDescent="0.3">
      <c r="A68" s="16" t="s">
        <v>132</v>
      </c>
      <c r="B68" s="17">
        <v>44549</v>
      </c>
      <c r="C68" s="8">
        <v>19</v>
      </c>
      <c r="D68" s="8" t="s">
        <v>20</v>
      </c>
      <c r="E68" s="8">
        <v>2021</v>
      </c>
      <c r="F68" s="8">
        <v>37</v>
      </c>
      <c r="G68" s="8" t="s">
        <v>21</v>
      </c>
      <c r="H68" s="8" t="s">
        <v>160</v>
      </c>
      <c r="I68" s="8" t="s">
        <v>23</v>
      </c>
      <c r="J68" s="8" t="s">
        <v>72</v>
      </c>
      <c r="K68" s="8" t="s">
        <v>25</v>
      </c>
      <c r="L68" s="8" t="s">
        <v>26</v>
      </c>
      <c r="M68" s="8" t="s">
        <v>44</v>
      </c>
      <c r="N68" s="8">
        <v>4</v>
      </c>
      <c r="O68" s="18">
        <v>1252</v>
      </c>
      <c r="P68" s="18">
        <v>2295</v>
      </c>
      <c r="Q68" s="18">
        <f t="shared" si="3"/>
        <v>4172</v>
      </c>
      <c r="R68" s="18">
        <f t="shared" si="4"/>
        <v>5008</v>
      </c>
      <c r="S68" s="18">
        <f t="shared" si="5"/>
        <v>9180</v>
      </c>
    </row>
    <row r="69" spans="1:19" x14ac:dyDescent="0.3">
      <c r="A69" s="16" t="s">
        <v>133</v>
      </c>
      <c r="B69" s="17">
        <v>44549</v>
      </c>
      <c r="C69" s="8">
        <v>19</v>
      </c>
      <c r="D69" s="8" t="s">
        <v>20</v>
      </c>
      <c r="E69" s="8">
        <v>2021</v>
      </c>
      <c r="F69" s="8">
        <v>39</v>
      </c>
      <c r="G69" s="8" t="s">
        <v>21</v>
      </c>
      <c r="H69" s="8" t="s">
        <v>159</v>
      </c>
      <c r="I69" s="8" t="s">
        <v>23</v>
      </c>
      <c r="J69" s="8" t="s">
        <v>24</v>
      </c>
      <c r="K69" s="8" t="s">
        <v>25</v>
      </c>
      <c r="L69" s="8" t="s">
        <v>26</v>
      </c>
      <c r="M69" s="8" t="s">
        <v>27</v>
      </c>
      <c r="N69" s="8">
        <v>4</v>
      </c>
      <c r="O69" s="18">
        <v>1252</v>
      </c>
      <c r="P69" s="18">
        <v>2295</v>
      </c>
      <c r="Q69" s="18">
        <f t="shared" si="3"/>
        <v>4172</v>
      </c>
      <c r="R69" s="18">
        <f t="shared" si="4"/>
        <v>5008</v>
      </c>
      <c r="S69" s="18">
        <f t="shared" si="5"/>
        <v>9180</v>
      </c>
    </row>
    <row r="70" spans="1:19" x14ac:dyDescent="0.3">
      <c r="A70" s="16" t="s">
        <v>134</v>
      </c>
      <c r="B70" s="17">
        <v>44549</v>
      </c>
      <c r="C70" s="8">
        <v>19</v>
      </c>
      <c r="D70" s="8" t="s">
        <v>20</v>
      </c>
      <c r="E70" s="8">
        <v>2021</v>
      </c>
      <c r="F70" s="8">
        <v>63</v>
      </c>
      <c r="G70" s="8" t="s">
        <v>21</v>
      </c>
      <c r="H70" s="8" t="s">
        <v>159</v>
      </c>
      <c r="I70" s="8" t="s">
        <v>37</v>
      </c>
      <c r="J70" s="8" t="s">
        <v>54</v>
      </c>
      <c r="K70" s="8" t="s">
        <v>25</v>
      </c>
      <c r="L70" s="8" t="s">
        <v>26</v>
      </c>
      <c r="M70" s="8" t="s">
        <v>27</v>
      </c>
      <c r="N70" s="8">
        <v>4</v>
      </c>
      <c r="O70" s="18">
        <v>1252</v>
      </c>
      <c r="P70" s="18">
        <v>2295</v>
      </c>
      <c r="Q70" s="18">
        <f t="shared" si="3"/>
        <v>4172</v>
      </c>
      <c r="R70" s="18">
        <f t="shared" si="4"/>
        <v>5008</v>
      </c>
      <c r="S70" s="18">
        <f t="shared" si="5"/>
        <v>9180</v>
      </c>
    </row>
    <row r="71" spans="1:19" x14ac:dyDescent="0.3">
      <c r="A71" s="16" t="s">
        <v>135</v>
      </c>
      <c r="B71" s="17">
        <v>44549</v>
      </c>
      <c r="C71" s="8">
        <v>19</v>
      </c>
      <c r="D71" s="8" t="s">
        <v>20</v>
      </c>
      <c r="E71" s="8">
        <v>2021</v>
      </c>
      <c r="F71" s="8">
        <v>18</v>
      </c>
      <c r="G71" s="8" t="s">
        <v>43</v>
      </c>
      <c r="H71" s="8" t="s">
        <v>160</v>
      </c>
      <c r="I71" s="8" t="s">
        <v>37</v>
      </c>
      <c r="J71" s="8" t="s">
        <v>136</v>
      </c>
      <c r="K71" s="8" t="s">
        <v>25</v>
      </c>
      <c r="L71" s="8" t="s">
        <v>26</v>
      </c>
      <c r="M71" s="8" t="s">
        <v>84</v>
      </c>
      <c r="N71" s="8">
        <v>2</v>
      </c>
      <c r="O71" s="18">
        <v>295</v>
      </c>
      <c r="P71" s="18">
        <v>540</v>
      </c>
      <c r="Q71" s="18">
        <f t="shared" si="3"/>
        <v>490</v>
      </c>
      <c r="R71" s="18">
        <f t="shared" si="4"/>
        <v>590</v>
      </c>
      <c r="S71" s="18">
        <f t="shared" si="5"/>
        <v>1080</v>
      </c>
    </row>
    <row r="72" spans="1:19" x14ac:dyDescent="0.3">
      <c r="A72" s="16" t="s">
        <v>137</v>
      </c>
      <c r="B72" s="17">
        <v>44549</v>
      </c>
      <c r="C72" s="8">
        <v>19</v>
      </c>
      <c r="D72" s="8" t="s">
        <v>20</v>
      </c>
      <c r="E72" s="8">
        <v>2021</v>
      </c>
      <c r="F72" s="8">
        <v>56</v>
      </c>
      <c r="G72" s="8" t="s">
        <v>21</v>
      </c>
      <c r="H72" s="8" t="s">
        <v>159</v>
      </c>
      <c r="I72" s="8" t="s">
        <v>51</v>
      </c>
      <c r="J72" s="8" t="s">
        <v>138</v>
      </c>
      <c r="K72" s="8" t="s">
        <v>25</v>
      </c>
      <c r="L72" s="8" t="s">
        <v>26</v>
      </c>
      <c r="M72" s="8" t="s">
        <v>27</v>
      </c>
      <c r="N72" s="8">
        <v>2</v>
      </c>
      <c r="O72" s="18">
        <v>1252</v>
      </c>
      <c r="P72" s="18">
        <v>2295</v>
      </c>
      <c r="Q72" s="18">
        <f t="shared" si="3"/>
        <v>2086</v>
      </c>
      <c r="R72" s="18">
        <f t="shared" si="4"/>
        <v>2504</v>
      </c>
      <c r="S72" s="18">
        <f t="shared" si="5"/>
        <v>4590</v>
      </c>
    </row>
    <row r="73" spans="1:19" x14ac:dyDescent="0.3">
      <c r="A73" s="16" t="s">
        <v>139</v>
      </c>
      <c r="B73" s="17">
        <v>44549</v>
      </c>
      <c r="C73" s="8">
        <v>19</v>
      </c>
      <c r="D73" s="8" t="s">
        <v>20</v>
      </c>
      <c r="E73" s="8">
        <v>2021</v>
      </c>
      <c r="F73" s="8">
        <v>39</v>
      </c>
      <c r="G73" s="8" t="s">
        <v>21</v>
      </c>
      <c r="H73" s="8" t="s">
        <v>159</v>
      </c>
      <c r="I73" s="8" t="s">
        <v>23</v>
      </c>
      <c r="J73" s="8" t="s">
        <v>47</v>
      </c>
      <c r="K73" s="8" t="s">
        <v>25</v>
      </c>
      <c r="L73" s="8" t="s">
        <v>26</v>
      </c>
      <c r="M73" s="8" t="s">
        <v>55</v>
      </c>
      <c r="N73" s="8">
        <v>1</v>
      </c>
      <c r="O73" s="18">
        <v>1266</v>
      </c>
      <c r="P73" s="18">
        <v>2320</v>
      </c>
      <c r="Q73" s="18">
        <f t="shared" si="3"/>
        <v>1054</v>
      </c>
      <c r="R73" s="18">
        <f t="shared" si="4"/>
        <v>1266</v>
      </c>
      <c r="S73" s="18">
        <f t="shared" si="5"/>
        <v>2320</v>
      </c>
    </row>
    <row r="74" spans="1:19" x14ac:dyDescent="0.3">
      <c r="A74" s="16" t="s">
        <v>140</v>
      </c>
      <c r="B74" s="17">
        <v>44550</v>
      </c>
      <c r="C74" s="8">
        <v>20</v>
      </c>
      <c r="D74" s="8" t="s">
        <v>20</v>
      </c>
      <c r="E74" s="8">
        <v>2021</v>
      </c>
      <c r="F74" s="8">
        <v>33</v>
      </c>
      <c r="G74" s="8" t="s">
        <v>36</v>
      </c>
      <c r="H74" s="8" t="s">
        <v>159</v>
      </c>
      <c r="I74" s="8" t="s">
        <v>37</v>
      </c>
      <c r="J74" s="8" t="s">
        <v>76</v>
      </c>
      <c r="K74" s="8" t="s">
        <v>25</v>
      </c>
      <c r="L74" s="8" t="s">
        <v>26</v>
      </c>
      <c r="M74" s="8" t="s">
        <v>77</v>
      </c>
      <c r="N74" s="8">
        <v>4</v>
      </c>
      <c r="O74" s="18">
        <v>1898</v>
      </c>
      <c r="P74" s="18">
        <v>3375</v>
      </c>
      <c r="Q74" s="18">
        <f t="shared" si="3"/>
        <v>5908</v>
      </c>
      <c r="R74" s="18">
        <f t="shared" si="4"/>
        <v>7592</v>
      </c>
      <c r="S74" s="18">
        <f t="shared" si="5"/>
        <v>13500</v>
      </c>
    </row>
    <row r="75" spans="1:19" x14ac:dyDescent="0.3">
      <c r="A75" s="16" t="s">
        <v>141</v>
      </c>
      <c r="B75" s="17">
        <v>44550</v>
      </c>
      <c r="C75" s="8">
        <v>20</v>
      </c>
      <c r="D75" s="8" t="s">
        <v>20</v>
      </c>
      <c r="E75" s="8">
        <v>2021</v>
      </c>
      <c r="F75" s="8">
        <v>57</v>
      </c>
      <c r="G75" s="8" t="s">
        <v>21</v>
      </c>
      <c r="H75" s="8" t="s">
        <v>160</v>
      </c>
      <c r="I75" s="8" t="s">
        <v>37</v>
      </c>
      <c r="J75" s="8" t="s">
        <v>54</v>
      </c>
      <c r="K75" s="8" t="s">
        <v>25</v>
      </c>
      <c r="L75" s="8" t="s">
        <v>26</v>
      </c>
      <c r="M75" s="8" t="s">
        <v>27</v>
      </c>
      <c r="N75" s="8">
        <v>4</v>
      </c>
      <c r="O75" s="18">
        <v>1252</v>
      </c>
      <c r="P75" s="18">
        <v>2295</v>
      </c>
      <c r="Q75" s="18">
        <f t="shared" si="3"/>
        <v>4172</v>
      </c>
      <c r="R75" s="18">
        <f t="shared" si="4"/>
        <v>5008</v>
      </c>
      <c r="S75" s="18">
        <f t="shared" si="5"/>
        <v>9180</v>
      </c>
    </row>
    <row r="76" spans="1:19" x14ac:dyDescent="0.3">
      <c r="A76" s="16" t="s">
        <v>142</v>
      </c>
      <c r="B76" s="17">
        <v>44550</v>
      </c>
      <c r="C76" s="8">
        <v>20</v>
      </c>
      <c r="D76" s="8" t="s">
        <v>20</v>
      </c>
      <c r="E76" s="8">
        <v>2021</v>
      </c>
      <c r="F76" s="8">
        <v>29</v>
      </c>
      <c r="G76" s="8" t="s">
        <v>36</v>
      </c>
      <c r="H76" s="8" t="s">
        <v>160</v>
      </c>
      <c r="I76" s="8" t="s">
        <v>59</v>
      </c>
      <c r="J76" s="8" t="s">
        <v>60</v>
      </c>
      <c r="K76" s="8" t="s">
        <v>25</v>
      </c>
      <c r="L76" s="8" t="s">
        <v>26</v>
      </c>
      <c r="M76" s="8" t="s">
        <v>143</v>
      </c>
      <c r="N76" s="8">
        <v>3</v>
      </c>
      <c r="O76" s="18">
        <v>295</v>
      </c>
      <c r="P76" s="18">
        <v>540</v>
      </c>
      <c r="Q76" s="18">
        <f t="shared" si="3"/>
        <v>735</v>
      </c>
      <c r="R76" s="18">
        <f t="shared" si="4"/>
        <v>885</v>
      </c>
      <c r="S76" s="18">
        <f t="shared" si="5"/>
        <v>1620</v>
      </c>
    </row>
    <row r="77" spans="1:19" x14ac:dyDescent="0.3">
      <c r="A77" s="16" t="s">
        <v>144</v>
      </c>
      <c r="B77" s="17">
        <v>44550</v>
      </c>
      <c r="C77" s="8">
        <v>20</v>
      </c>
      <c r="D77" s="8" t="s">
        <v>20</v>
      </c>
      <c r="E77" s="8">
        <v>2021</v>
      </c>
      <c r="F77" s="8">
        <v>35</v>
      </c>
      <c r="G77" s="8" t="s">
        <v>21</v>
      </c>
      <c r="H77" s="8" t="s">
        <v>159</v>
      </c>
      <c r="I77" s="8" t="s">
        <v>37</v>
      </c>
      <c r="J77" s="8" t="s">
        <v>54</v>
      </c>
      <c r="K77" s="8" t="s">
        <v>25</v>
      </c>
      <c r="L77" s="8" t="s">
        <v>26</v>
      </c>
      <c r="M77" s="8" t="s">
        <v>55</v>
      </c>
      <c r="N77" s="8">
        <v>1</v>
      </c>
      <c r="O77" s="18">
        <v>1266</v>
      </c>
      <c r="P77" s="18">
        <v>2320</v>
      </c>
      <c r="Q77" s="18">
        <f t="shared" si="3"/>
        <v>1054</v>
      </c>
      <c r="R77" s="18">
        <f t="shared" si="4"/>
        <v>1266</v>
      </c>
      <c r="S77" s="18">
        <f t="shared" si="5"/>
        <v>2320</v>
      </c>
    </row>
    <row r="78" spans="1:19" x14ac:dyDescent="0.3">
      <c r="A78" s="16" t="s">
        <v>145</v>
      </c>
      <c r="B78" s="17">
        <v>44550</v>
      </c>
      <c r="C78" s="8">
        <v>20</v>
      </c>
      <c r="D78" s="8" t="s">
        <v>20</v>
      </c>
      <c r="E78" s="8">
        <v>2021</v>
      </c>
      <c r="F78" s="8">
        <v>35</v>
      </c>
      <c r="G78" s="8" t="s">
        <v>21</v>
      </c>
      <c r="H78" s="8" t="s">
        <v>160</v>
      </c>
      <c r="I78" s="8" t="s">
        <v>37</v>
      </c>
      <c r="J78" s="8" t="s">
        <v>76</v>
      </c>
      <c r="K78" s="8" t="s">
        <v>25</v>
      </c>
      <c r="L78" s="8" t="s">
        <v>26</v>
      </c>
      <c r="M78" s="8" t="s">
        <v>55</v>
      </c>
      <c r="N78" s="8">
        <v>1</v>
      </c>
      <c r="O78" s="18">
        <v>1266</v>
      </c>
      <c r="P78" s="18">
        <v>2320</v>
      </c>
      <c r="Q78" s="18">
        <f t="shared" si="3"/>
        <v>1054</v>
      </c>
      <c r="R78" s="18">
        <f t="shared" si="4"/>
        <v>1266</v>
      </c>
      <c r="S78" s="18">
        <f t="shared" si="5"/>
        <v>2320</v>
      </c>
    </row>
    <row r="79" spans="1:19" x14ac:dyDescent="0.3">
      <c r="A79" s="16" t="s">
        <v>146</v>
      </c>
      <c r="B79" s="17">
        <v>44551</v>
      </c>
      <c r="C79" s="8">
        <v>21</v>
      </c>
      <c r="D79" s="8" t="s">
        <v>20</v>
      </c>
      <c r="E79" s="8">
        <v>2021</v>
      </c>
      <c r="F79" s="8">
        <v>26</v>
      </c>
      <c r="G79" s="8" t="s">
        <v>36</v>
      </c>
      <c r="H79" s="8" t="s">
        <v>160</v>
      </c>
      <c r="I79" s="8" t="s">
        <v>89</v>
      </c>
      <c r="J79" s="8" t="s">
        <v>147</v>
      </c>
      <c r="K79" s="8" t="s">
        <v>25</v>
      </c>
      <c r="L79" s="8" t="s">
        <v>26</v>
      </c>
      <c r="M79" s="8" t="s">
        <v>55</v>
      </c>
      <c r="N79" s="8">
        <v>3</v>
      </c>
      <c r="O79" s="18">
        <v>1266</v>
      </c>
      <c r="P79" s="18">
        <v>2320</v>
      </c>
      <c r="Q79" s="18">
        <f t="shared" si="3"/>
        <v>3162</v>
      </c>
      <c r="R79" s="18">
        <f t="shared" si="4"/>
        <v>3798</v>
      </c>
      <c r="S79" s="18">
        <f t="shared" si="5"/>
        <v>6960</v>
      </c>
    </row>
    <row r="80" spans="1:19" x14ac:dyDescent="0.3">
      <c r="A80" s="16" t="s">
        <v>148</v>
      </c>
      <c r="B80" s="17">
        <v>44551</v>
      </c>
      <c r="C80" s="8">
        <v>21</v>
      </c>
      <c r="D80" s="8" t="s">
        <v>20</v>
      </c>
      <c r="E80" s="8">
        <v>2021</v>
      </c>
      <c r="F80" s="8">
        <v>23</v>
      </c>
      <c r="G80" s="8" t="s">
        <v>43</v>
      </c>
      <c r="H80" s="8" t="s">
        <v>160</v>
      </c>
      <c r="I80" s="8" t="s">
        <v>29</v>
      </c>
      <c r="J80" s="8" t="s">
        <v>30</v>
      </c>
      <c r="K80" s="8" t="s">
        <v>25</v>
      </c>
      <c r="L80" s="8" t="s">
        <v>26</v>
      </c>
      <c r="M80" s="8" t="s">
        <v>34</v>
      </c>
      <c r="N80" s="8">
        <v>2</v>
      </c>
      <c r="O80" s="18">
        <v>420</v>
      </c>
      <c r="P80" s="18">
        <v>769</v>
      </c>
      <c r="Q80" s="18">
        <f t="shared" si="3"/>
        <v>698</v>
      </c>
      <c r="R80" s="18">
        <f t="shared" si="4"/>
        <v>840</v>
      </c>
      <c r="S80" s="18">
        <f t="shared" si="5"/>
        <v>1538</v>
      </c>
    </row>
    <row r="81" spans="1:19" x14ac:dyDescent="0.3">
      <c r="A81" s="16" t="s">
        <v>149</v>
      </c>
      <c r="B81" s="17">
        <v>44552</v>
      </c>
      <c r="C81" s="8">
        <v>22</v>
      </c>
      <c r="D81" s="8" t="s">
        <v>20</v>
      </c>
      <c r="E81" s="8">
        <v>2021</v>
      </c>
      <c r="F81" s="8">
        <v>30</v>
      </c>
      <c r="G81" s="8" t="s">
        <v>36</v>
      </c>
      <c r="H81" s="8" t="s">
        <v>159</v>
      </c>
      <c r="I81" s="8" t="s">
        <v>23</v>
      </c>
      <c r="J81" s="8" t="s">
        <v>47</v>
      </c>
      <c r="K81" s="8" t="s">
        <v>25</v>
      </c>
      <c r="L81" s="8" t="s">
        <v>26</v>
      </c>
      <c r="M81" s="8" t="s">
        <v>55</v>
      </c>
      <c r="N81" s="8">
        <v>3</v>
      </c>
      <c r="O81" s="18">
        <v>1266</v>
      </c>
      <c r="P81" s="18">
        <v>2320</v>
      </c>
      <c r="Q81" s="18">
        <f t="shared" si="3"/>
        <v>3162</v>
      </c>
      <c r="R81" s="18">
        <f t="shared" si="4"/>
        <v>3798</v>
      </c>
      <c r="S81" s="18">
        <f t="shared" si="5"/>
        <v>6960</v>
      </c>
    </row>
    <row r="82" spans="1:19" x14ac:dyDescent="0.3">
      <c r="A82" s="16" t="s">
        <v>150</v>
      </c>
      <c r="B82" s="17">
        <v>44552</v>
      </c>
      <c r="C82" s="8">
        <v>22</v>
      </c>
      <c r="D82" s="8" t="s">
        <v>20</v>
      </c>
      <c r="E82" s="8">
        <v>2021</v>
      </c>
      <c r="F82" s="8">
        <v>41</v>
      </c>
      <c r="G82" s="8" t="s">
        <v>21</v>
      </c>
      <c r="H82" s="8" t="s">
        <v>160</v>
      </c>
      <c r="I82" s="8" t="s">
        <v>23</v>
      </c>
      <c r="J82" s="8" t="s">
        <v>24</v>
      </c>
      <c r="K82" s="8" t="s">
        <v>25</v>
      </c>
      <c r="L82" s="8" t="s">
        <v>26</v>
      </c>
      <c r="M82" s="8" t="s">
        <v>62</v>
      </c>
      <c r="N82" s="8">
        <v>3</v>
      </c>
      <c r="O82" s="18">
        <v>1252</v>
      </c>
      <c r="P82" s="18">
        <v>2295</v>
      </c>
      <c r="Q82" s="18">
        <f t="shared" si="3"/>
        <v>3129</v>
      </c>
      <c r="R82" s="18">
        <f t="shared" si="4"/>
        <v>3756</v>
      </c>
      <c r="S82" s="18">
        <f t="shared" si="5"/>
        <v>6885</v>
      </c>
    </row>
    <row r="83" spans="1:19" x14ac:dyDescent="0.3">
      <c r="A83" s="16" t="s">
        <v>151</v>
      </c>
      <c r="B83" s="17">
        <v>44552</v>
      </c>
      <c r="C83" s="8">
        <v>22</v>
      </c>
      <c r="D83" s="8" t="s">
        <v>20</v>
      </c>
      <c r="E83" s="8">
        <v>2021</v>
      </c>
      <c r="F83" s="8">
        <v>19</v>
      </c>
      <c r="G83" s="8" t="s">
        <v>43</v>
      </c>
      <c r="H83" s="8" t="s">
        <v>159</v>
      </c>
      <c r="I83" s="8" t="s">
        <v>37</v>
      </c>
      <c r="J83" s="8" t="s">
        <v>38</v>
      </c>
      <c r="K83" s="8" t="s">
        <v>25</v>
      </c>
      <c r="L83" s="8" t="s">
        <v>26</v>
      </c>
      <c r="M83" s="8" t="s">
        <v>69</v>
      </c>
      <c r="N83" s="8">
        <v>1</v>
      </c>
      <c r="O83" s="18">
        <v>308</v>
      </c>
      <c r="P83" s="18">
        <v>565</v>
      </c>
      <c r="Q83" s="18">
        <f t="shared" si="3"/>
        <v>257</v>
      </c>
      <c r="R83" s="18">
        <f t="shared" si="4"/>
        <v>308</v>
      </c>
      <c r="S83" s="18">
        <f t="shared" si="5"/>
        <v>565</v>
      </c>
    </row>
    <row r="84" spans="1:19" x14ac:dyDescent="0.3">
      <c r="A84" s="16" t="s">
        <v>152</v>
      </c>
      <c r="B84" s="17">
        <v>44552</v>
      </c>
      <c r="C84" s="8">
        <v>22</v>
      </c>
      <c r="D84" s="8" t="s">
        <v>20</v>
      </c>
      <c r="E84" s="8">
        <v>2021</v>
      </c>
      <c r="F84" s="8">
        <v>25</v>
      </c>
      <c r="G84" s="8" t="s">
        <v>36</v>
      </c>
      <c r="H84" s="8" t="s">
        <v>160</v>
      </c>
      <c r="I84" s="8" t="s">
        <v>89</v>
      </c>
      <c r="J84" s="8" t="s">
        <v>90</v>
      </c>
      <c r="K84" s="8" t="s">
        <v>25</v>
      </c>
      <c r="L84" s="8" t="s">
        <v>26</v>
      </c>
      <c r="M84" s="8" t="s">
        <v>44</v>
      </c>
      <c r="N84" s="8">
        <v>1</v>
      </c>
      <c r="O84" s="18">
        <v>1252</v>
      </c>
      <c r="P84" s="18">
        <v>2295</v>
      </c>
      <c r="Q84" s="18">
        <f t="shared" si="3"/>
        <v>1043</v>
      </c>
      <c r="R84" s="18">
        <f t="shared" si="4"/>
        <v>1252</v>
      </c>
      <c r="S84" s="18">
        <f t="shared" si="5"/>
        <v>2295</v>
      </c>
    </row>
    <row r="85" spans="1:19" x14ac:dyDescent="0.3">
      <c r="A85" s="16" t="s">
        <v>153</v>
      </c>
      <c r="B85" s="17">
        <v>44552</v>
      </c>
      <c r="C85" s="8">
        <v>22</v>
      </c>
      <c r="D85" s="8" t="s">
        <v>20</v>
      </c>
      <c r="E85" s="8">
        <v>2021</v>
      </c>
      <c r="F85" s="8">
        <v>27</v>
      </c>
      <c r="G85" s="8" t="s">
        <v>36</v>
      </c>
      <c r="H85" s="8" t="s">
        <v>159</v>
      </c>
      <c r="I85" s="8" t="s">
        <v>59</v>
      </c>
      <c r="J85" s="8" t="s">
        <v>60</v>
      </c>
      <c r="K85" s="8" t="s">
        <v>25</v>
      </c>
      <c r="L85" s="8" t="s">
        <v>26</v>
      </c>
      <c r="M85" s="8" t="s">
        <v>27</v>
      </c>
      <c r="N85" s="8">
        <v>1</v>
      </c>
      <c r="O85" s="18">
        <v>1252</v>
      </c>
      <c r="P85" s="18">
        <v>2295</v>
      </c>
      <c r="Q85" s="18">
        <f t="shared" si="3"/>
        <v>1043</v>
      </c>
      <c r="R85" s="18">
        <f t="shared" si="4"/>
        <v>1252</v>
      </c>
      <c r="S85" s="18">
        <f t="shared" si="5"/>
        <v>2295</v>
      </c>
    </row>
    <row r="86" spans="1:19" x14ac:dyDescent="0.3">
      <c r="A86" s="16" t="s">
        <v>154</v>
      </c>
      <c r="B86" s="17">
        <v>44552</v>
      </c>
      <c r="C86" s="8">
        <v>22</v>
      </c>
      <c r="D86" s="8" t="s">
        <v>20</v>
      </c>
      <c r="E86" s="8">
        <v>2021</v>
      </c>
      <c r="F86" s="8">
        <v>41</v>
      </c>
      <c r="G86" s="8" t="s">
        <v>21</v>
      </c>
      <c r="H86" s="8" t="s">
        <v>160</v>
      </c>
      <c r="I86" s="8" t="s">
        <v>51</v>
      </c>
      <c r="J86" s="8" t="s">
        <v>138</v>
      </c>
      <c r="K86" s="8" t="s">
        <v>25</v>
      </c>
      <c r="L86" s="8" t="s">
        <v>26</v>
      </c>
      <c r="M86" s="8" t="s">
        <v>55</v>
      </c>
      <c r="N86" s="8">
        <v>1</v>
      </c>
      <c r="O86" s="18">
        <v>1266</v>
      </c>
      <c r="P86" s="18">
        <v>2320</v>
      </c>
      <c r="Q86" s="18">
        <f t="shared" si="3"/>
        <v>1054</v>
      </c>
      <c r="R86" s="18">
        <f t="shared" si="4"/>
        <v>1266</v>
      </c>
      <c r="S86" s="18">
        <f t="shared" si="5"/>
        <v>2320</v>
      </c>
    </row>
    <row r="87" spans="1:19" x14ac:dyDescent="0.3">
      <c r="A87" s="16" t="s">
        <v>155</v>
      </c>
      <c r="B87" s="17">
        <v>44553</v>
      </c>
      <c r="C87" s="8">
        <v>23</v>
      </c>
      <c r="D87" s="8" t="s">
        <v>20</v>
      </c>
      <c r="E87" s="8">
        <v>2021</v>
      </c>
      <c r="F87" s="8">
        <v>30</v>
      </c>
      <c r="G87" s="8" t="s">
        <v>36</v>
      </c>
      <c r="H87" s="8" t="s">
        <v>159</v>
      </c>
      <c r="I87" s="8" t="s">
        <v>23</v>
      </c>
      <c r="J87" s="8" t="s">
        <v>72</v>
      </c>
      <c r="K87" s="8" t="s">
        <v>25</v>
      </c>
      <c r="L87" s="8" t="s">
        <v>26</v>
      </c>
      <c r="M87" s="8" t="s">
        <v>31</v>
      </c>
      <c r="N87" s="8">
        <v>1</v>
      </c>
      <c r="O87" s="18">
        <v>1266</v>
      </c>
      <c r="P87" s="18">
        <v>2320</v>
      </c>
      <c r="Q87" s="18">
        <f t="shared" si="3"/>
        <v>1054</v>
      </c>
      <c r="R87" s="18">
        <f t="shared" si="4"/>
        <v>1266</v>
      </c>
      <c r="S87" s="18">
        <f t="shared" si="5"/>
        <v>2320</v>
      </c>
    </row>
    <row r="88" spans="1:19" x14ac:dyDescent="0.3">
      <c r="A88" s="16" t="s">
        <v>156</v>
      </c>
      <c r="B88" s="17">
        <v>44553</v>
      </c>
      <c r="C88" s="8">
        <v>23</v>
      </c>
      <c r="D88" s="8" t="s">
        <v>20</v>
      </c>
      <c r="E88" s="8">
        <v>2021</v>
      </c>
      <c r="F88" s="8">
        <v>31</v>
      </c>
      <c r="G88" s="8" t="s">
        <v>36</v>
      </c>
      <c r="H88" s="8" t="s">
        <v>159</v>
      </c>
      <c r="I88" s="8" t="s">
        <v>59</v>
      </c>
      <c r="J88" s="8" t="s">
        <v>60</v>
      </c>
      <c r="K88" s="8" t="s">
        <v>25</v>
      </c>
      <c r="L88" s="8" t="s">
        <v>26</v>
      </c>
      <c r="M88" s="8" t="s">
        <v>62</v>
      </c>
      <c r="N88" s="8">
        <v>1</v>
      </c>
      <c r="O88" s="18">
        <v>1252</v>
      </c>
      <c r="P88" s="18">
        <v>2295</v>
      </c>
      <c r="Q88" s="18">
        <f t="shared" si="3"/>
        <v>1043</v>
      </c>
      <c r="R88" s="18">
        <f t="shared" si="4"/>
        <v>1252</v>
      </c>
      <c r="S88" s="18">
        <f t="shared" si="5"/>
        <v>2295</v>
      </c>
    </row>
    <row r="89" spans="1:19" x14ac:dyDescent="0.3">
      <c r="A89" s="16" t="s">
        <v>157</v>
      </c>
      <c r="B89" s="17">
        <v>44553</v>
      </c>
      <c r="C89" s="8">
        <v>23</v>
      </c>
      <c r="D89" s="8" t="s">
        <v>20</v>
      </c>
      <c r="E89" s="8">
        <v>2021</v>
      </c>
      <c r="F89" s="8">
        <v>35</v>
      </c>
      <c r="G89" s="8" t="s">
        <v>21</v>
      </c>
      <c r="H89" s="8" t="s">
        <v>159</v>
      </c>
      <c r="I89" s="8" t="s">
        <v>23</v>
      </c>
      <c r="J89" s="8" t="s">
        <v>24</v>
      </c>
      <c r="K89" s="8" t="s">
        <v>25</v>
      </c>
      <c r="L89" s="8" t="s">
        <v>26</v>
      </c>
      <c r="M89" s="8" t="s">
        <v>74</v>
      </c>
      <c r="N89" s="8">
        <v>1</v>
      </c>
      <c r="O89" s="18">
        <v>295</v>
      </c>
      <c r="P89" s="18">
        <v>540</v>
      </c>
      <c r="Q89" s="18">
        <f t="shared" si="3"/>
        <v>245</v>
      </c>
      <c r="R89" s="18">
        <f t="shared" si="4"/>
        <v>295</v>
      </c>
      <c r="S89" s="18">
        <f t="shared" si="5"/>
        <v>540</v>
      </c>
    </row>
    <row r="90" spans="1:19" x14ac:dyDescent="0.3">
      <c r="A90" s="16" t="s">
        <v>158</v>
      </c>
      <c r="B90" s="17">
        <v>44554</v>
      </c>
      <c r="C90" s="8">
        <v>24</v>
      </c>
      <c r="D90" s="8" t="s">
        <v>20</v>
      </c>
      <c r="E90" s="8">
        <v>2021</v>
      </c>
      <c r="F90" s="8">
        <v>38</v>
      </c>
      <c r="G90" s="8" t="s">
        <v>21</v>
      </c>
      <c r="H90" s="8" t="s">
        <v>160</v>
      </c>
      <c r="I90" s="8" t="s">
        <v>37</v>
      </c>
      <c r="J90" s="8" t="s">
        <v>54</v>
      </c>
      <c r="K90" s="8" t="s">
        <v>25</v>
      </c>
      <c r="L90" s="8" t="s">
        <v>26</v>
      </c>
      <c r="M90" s="8" t="s">
        <v>62</v>
      </c>
      <c r="N90" s="8">
        <v>4</v>
      </c>
      <c r="O90" s="18">
        <v>1252</v>
      </c>
      <c r="P90" s="18">
        <v>2295</v>
      </c>
      <c r="Q90" s="18">
        <f t="shared" si="3"/>
        <v>4172</v>
      </c>
      <c r="R90" s="18">
        <f t="shared" si="4"/>
        <v>5008</v>
      </c>
      <c r="S90" s="18">
        <f t="shared" si="5"/>
        <v>9180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916A0-D905-46BB-8056-4198E6FF70D2}">
  <dimension ref="A1:AR156"/>
  <sheetViews>
    <sheetView tabSelected="1" zoomScale="61" zoomScaleNormal="70" workbookViewId="0">
      <selection activeCell="Z1" sqref="Z1:AR41"/>
    </sheetView>
  </sheetViews>
  <sheetFormatPr defaultRowHeight="14.4" x14ac:dyDescent="0.3"/>
  <sheetData>
    <row r="1" spans="1:44" ht="14.4" customHeight="1" x14ac:dyDescent="0.3">
      <c r="A1" s="26" t="s">
        <v>173</v>
      </c>
      <c r="B1" s="26"/>
      <c r="C1" s="26"/>
      <c r="D1" s="26"/>
      <c r="E1" s="26"/>
      <c r="F1" s="26"/>
      <c r="G1" s="26"/>
      <c r="H1" s="26"/>
      <c r="I1" s="26"/>
      <c r="J1" s="26"/>
      <c r="K1" s="26"/>
      <c r="L1" s="26"/>
      <c r="M1" s="26"/>
      <c r="N1" s="26"/>
      <c r="O1" s="26"/>
      <c r="P1" s="26"/>
      <c r="Q1" s="26"/>
      <c r="R1" s="26"/>
      <c r="S1" s="26"/>
      <c r="T1" s="26"/>
      <c r="U1" s="26"/>
      <c r="V1" s="26"/>
      <c r="W1" s="26"/>
      <c r="X1" s="22"/>
      <c r="Y1" s="30"/>
      <c r="Z1" s="30"/>
      <c r="AA1" s="30"/>
      <c r="AB1" s="30"/>
      <c r="AC1" s="30"/>
      <c r="AD1" s="30"/>
      <c r="AE1" s="30"/>
      <c r="AF1" s="30"/>
      <c r="AG1" s="30"/>
      <c r="AH1" s="30"/>
      <c r="AI1" s="30"/>
      <c r="AJ1" s="30"/>
      <c r="AK1" s="30"/>
      <c r="AL1" s="30"/>
      <c r="AM1" s="30"/>
      <c r="AN1" s="30"/>
      <c r="AO1" s="30"/>
      <c r="AP1" s="30"/>
      <c r="AQ1" s="30"/>
      <c r="AR1" s="30"/>
    </row>
    <row r="2" spans="1:44" ht="14.4" customHeight="1" x14ac:dyDescent="0.3">
      <c r="A2" s="26"/>
      <c r="B2" s="26"/>
      <c r="C2" s="26"/>
      <c r="D2" s="26"/>
      <c r="E2" s="26"/>
      <c r="F2" s="26"/>
      <c r="G2" s="26"/>
      <c r="H2" s="26"/>
      <c r="I2" s="26"/>
      <c r="J2" s="26"/>
      <c r="K2" s="26"/>
      <c r="L2" s="26"/>
      <c r="M2" s="26"/>
      <c r="N2" s="26"/>
      <c r="O2" s="26"/>
      <c r="P2" s="26"/>
      <c r="Q2" s="26"/>
      <c r="R2" s="26"/>
      <c r="S2" s="26"/>
      <c r="T2" s="26"/>
      <c r="U2" s="26"/>
      <c r="V2" s="26"/>
      <c r="W2" s="26"/>
      <c r="X2" s="22"/>
      <c r="Y2" s="30"/>
      <c r="Z2" s="30"/>
      <c r="AA2" s="30"/>
      <c r="AB2" s="30"/>
      <c r="AC2" s="30"/>
      <c r="AD2" s="30"/>
      <c r="AE2" s="30"/>
      <c r="AF2" s="30"/>
      <c r="AG2" s="30"/>
      <c r="AH2" s="30"/>
      <c r="AI2" s="30"/>
      <c r="AJ2" s="30"/>
      <c r="AK2" s="30"/>
      <c r="AL2" s="30"/>
      <c r="AM2" s="30"/>
      <c r="AN2" s="30"/>
      <c r="AO2" s="30"/>
      <c r="AP2" s="30"/>
      <c r="AQ2" s="30"/>
      <c r="AR2" s="30"/>
    </row>
    <row r="3" spans="1:44" x14ac:dyDescent="0.3">
      <c r="A3" s="23"/>
      <c r="B3" s="23"/>
      <c r="C3" s="23"/>
      <c r="D3" s="23"/>
      <c r="E3" s="23"/>
      <c r="F3" s="23"/>
      <c r="G3" s="23"/>
      <c r="H3" s="23"/>
      <c r="I3" s="23"/>
      <c r="J3" s="23"/>
      <c r="K3" s="23"/>
      <c r="L3" s="23"/>
      <c r="M3" s="23"/>
      <c r="N3" s="23"/>
      <c r="O3" s="23"/>
      <c r="P3" s="23"/>
      <c r="Q3" s="23"/>
      <c r="R3" s="23"/>
      <c r="S3" s="23"/>
      <c r="T3" s="23"/>
      <c r="U3" s="23"/>
      <c r="V3" s="23"/>
      <c r="W3" s="23"/>
      <c r="X3" s="23"/>
      <c r="Y3" s="30"/>
      <c r="Z3" s="30"/>
      <c r="AA3" s="30"/>
      <c r="AB3" s="30"/>
      <c r="AC3" s="30"/>
      <c r="AD3" s="30"/>
      <c r="AE3" s="30"/>
      <c r="AF3" s="30"/>
      <c r="AG3" s="30"/>
      <c r="AH3" s="30"/>
      <c r="AI3" s="30"/>
      <c r="AJ3" s="30"/>
      <c r="AK3" s="30"/>
      <c r="AL3" s="30"/>
      <c r="AM3" s="30"/>
      <c r="AN3" s="30"/>
      <c r="AO3" s="30"/>
      <c r="AP3" s="30"/>
      <c r="AQ3" s="30"/>
      <c r="AR3" s="30"/>
    </row>
    <row r="4" spans="1:44" x14ac:dyDescent="0.3">
      <c r="A4" s="25" t="s">
        <v>174</v>
      </c>
      <c r="B4" s="25"/>
      <c r="C4" s="25"/>
      <c r="D4" s="23"/>
      <c r="E4" s="25" t="s">
        <v>175</v>
      </c>
      <c r="F4" s="25"/>
      <c r="G4" s="25"/>
      <c r="H4" s="21"/>
      <c r="I4" s="25" t="s">
        <v>176</v>
      </c>
      <c r="J4" s="25"/>
      <c r="K4" s="25"/>
      <c r="L4" s="23"/>
      <c r="M4" s="25" t="s">
        <v>177</v>
      </c>
      <c r="N4" s="25"/>
      <c r="O4" s="25"/>
      <c r="P4" s="23"/>
      <c r="Q4" s="25" t="s">
        <v>178</v>
      </c>
      <c r="R4" s="25"/>
      <c r="S4" s="25"/>
      <c r="T4" s="23"/>
      <c r="U4" s="25" t="s">
        <v>179</v>
      </c>
      <c r="V4" s="25"/>
      <c r="W4" s="25"/>
      <c r="X4" s="23"/>
      <c r="Y4" s="30"/>
      <c r="Z4" s="30"/>
      <c r="AA4" s="30"/>
      <c r="AB4" s="30"/>
      <c r="AC4" s="30"/>
      <c r="AD4" s="30"/>
      <c r="AE4" s="30"/>
      <c r="AF4" s="30"/>
      <c r="AG4" s="30"/>
      <c r="AH4" s="30"/>
      <c r="AI4" s="30"/>
      <c r="AJ4" s="30"/>
      <c r="AK4" s="30"/>
      <c r="AL4" s="30"/>
      <c r="AM4" s="30"/>
      <c r="AN4" s="30"/>
      <c r="AO4" s="30"/>
      <c r="AP4" s="30"/>
      <c r="AQ4" s="30"/>
      <c r="AR4" s="30"/>
    </row>
    <row r="5" spans="1:44" x14ac:dyDescent="0.3">
      <c r="A5" s="25"/>
      <c r="B5" s="25"/>
      <c r="C5" s="25"/>
      <c r="D5" s="23"/>
      <c r="E5" s="25"/>
      <c r="F5" s="25"/>
      <c r="G5" s="25"/>
      <c r="H5" s="21"/>
      <c r="I5" s="25"/>
      <c r="J5" s="25"/>
      <c r="K5" s="25"/>
      <c r="L5" s="23"/>
      <c r="M5" s="25"/>
      <c r="N5" s="25"/>
      <c r="O5" s="25"/>
      <c r="P5" s="23"/>
      <c r="Q5" s="25"/>
      <c r="R5" s="25"/>
      <c r="S5" s="25"/>
      <c r="T5" s="23"/>
      <c r="U5" s="25"/>
      <c r="V5" s="25"/>
      <c r="W5" s="25"/>
      <c r="X5" s="23"/>
      <c r="Y5" s="30"/>
      <c r="Z5" s="30"/>
      <c r="AA5" s="30"/>
      <c r="AB5" s="30"/>
      <c r="AC5" s="30"/>
      <c r="AD5" s="30"/>
      <c r="AE5" s="30"/>
      <c r="AF5" s="30"/>
      <c r="AG5" s="30"/>
      <c r="AH5" s="30"/>
      <c r="AI5" s="30"/>
      <c r="AJ5" s="30"/>
      <c r="AK5" s="30"/>
      <c r="AL5" s="30"/>
      <c r="AM5" s="30"/>
      <c r="AN5" s="30"/>
      <c r="AO5" s="30"/>
      <c r="AP5" s="30"/>
      <c r="AQ5" s="30"/>
      <c r="AR5" s="30"/>
    </row>
    <row r="6" spans="1:44" ht="21.6" x14ac:dyDescent="0.4">
      <c r="A6" s="25">
        <f>SUM(Table1!N:N)</f>
        <v>188</v>
      </c>
      <c r="B6" s="25"/>
      <c r="C6" s="25"/>
      <c r="D6" s="23"/>
      <c r="E6" s="25">
        <f>SUM(Table1!P:P)</f>
        <v>173513</v>
      </c>
      <c r="F6" s="25"/>
      <c r="G6" s="25"/>
      <c r="I6" s="25">
        <f>SUM(Table1!Q:Q)</f>
        <v>164551</v>
      </c>
      <c r="J6" s="25"/>
      <c r="K6" s="25"/>
      <c r="L6" s="23"/>
      <c r="M6" s="25">
        <f>SUM(Table1!S:S)</f>
        <v>363527</v>
      </c>
      <c r="N6" s="25"/>
      <c r="O6" s="25"/>
      <c r="P6" s="23"/>
      <c r="Q6" s="24">
        <f>COUNTIF(Table1_1[Customer_Gender],"Male")</f>
        <v>39</v>
      </c>
      <c r="R6" s="25"/>
      <c r="S6" s="25"/>
      <c r="T6" s="23"/>
      <c r="U6" s="24">
        <f>COUNTIF(Table1_1[Customer_Gender],"Female")</f>
        <v>50</v>
      </c>
      <c r="V6" s="25"/>
      <c r="W6" s="25"/>
      <c r="X6" s="23"/>
      <c r="Y6" s="30"/>
      <c r="Z6" s="30"/>
      <c r="AA6" s="30"/>
      <c r="AB6" s="30"/>
      <c r="AC6" s="30"/>
      <c r="AD6" s="30"/>
      <c r="AE6" s="30"/>
      <c r="AF6" s="30"/>
      <c r="AG6" s="30"/>
      <c r="AH6" s="30"/>
      <c r="AI6" s="30"/>
      <c r="AJ6" s="30"/>
      <c r="AK6" s="30"/>
      <c r="AL6" s="30"/>
      <c r="AM6" s="30"/>
      <c r="AN6" s="30"/>
      <c r="AO6" s="30"/>
      <c r="AP6" s="30"/>
      <c r="AQ6" s="30"/>
      <c r="AR6" s="30"/>
    </row>
    <row r="7" spans="1:44" x14ac:dyDescent="0.3">
      <c r="A7" s="23"/>
      <c r="B7" s="23"/>
      <c r="C7" s="23"/>
      <c r="D7" s="23"/>
      <c r="E7" s="23"/>
      <c r="F7" s="23"/>
      <c r="G7" s="23"/>
      <c r="H7" s="23"/>
      <c r="I7" s="23"/>
      <c r="J7" s="23"/>
      <c r="K7" s="23"/>
      <c r="L7" s="23"/>
      <c r="M7" s="23"/>
      <c r="N7" s="23"/>
      <c r="O7" s="23"/>
      <c r="P7" s="23"/>
      <c r="Q7" s="23"/>
      <c r="R7" s="23"/>
      <c r="S7" s="23"/>
      <c r="T7" s="23"/>
      <c r="U7" s="23"/>
      <c r="V7" s="23"/>
      <c r="W7" s="23"/>
      <c r="X7" s="23"/>
      <c r="Y7" s="23"/>
      <c r="Z7" s="30"/>
      <c r="AA7" s="30"/>
      <c r="AB7" s="30"/>
      <c r="AC7" s="30"/>
      <c r="AD7" s="30"/>
      <c r="AE7" s="30"/>
      <c r="AF7" s="30"/>
      <c r="AG7" s="30"/>
      <c r="AH7" s="30"/>
      <c r="AI7" s="30"/>
      <c r="AJ7" s="30"/>
      <c r="AK7" s="30"/>
      <c r="AL7" s="30"/>
      <c r="AM7" s="30"/>
      <c r="AN7" s="30"/>
      <c r="AO7" s="30"/>
      <c r="AP7" s="30"/>
      <c r="AQ7" s="30"/>
      <c r="AR7" s="30"/>
    </row>
    <row r="8" spans="1:44" x14ac:dyDescent="0.3">
      <c r="A8" s="23"/>
      <c r="B8" s="23"/>
      <c r="C8" s="23"/>
      <c r="D8" s="23"/>
      <c r="E8" s="23"/>
      <c r="F8" s="23"/>
      <c r="G8" s="23"/>
      <c r="H8" s="23"/>
      <c r="I8" s="23"/>
      <c r="J8" s="23"/>
      <c r="K8" s="23"/>
      <c r="L8" s="23"/>
      <c r="M8" s="23"/>
      <c r="N8" s="23"/>
      <c r="O8" s="23"/>
      <c r="P8" s="23"/>
      <c r="Q8" s="23"/>
      <c r="R8" s="23"/>
      <c r="S8" s="23"/>
      <c r="T8" s="23"/>
      <c r="U8" s="23"/>
      <c r="V8" s="23"/>
      <c r="W8" s="23"/>
      <c r="X8" s="23"/>
      <c r="Y8" s="23"/>
      <c r="Z8" s="30"/>
      <c r="AA8" s="30"/>
      <c r="AB8" s="30"/>
      <c r="AC8" s="30"/>
      <c r="AD8" s="30"/>
      <c r="AE8" s="30"/>
      <c r="AF8" s="30"/>
      <c r="AG8" s="30"/>
      <c r="AH8" s="30"/>
      <c r="AI8" s="30"/>
      <c r="AJ8" s="30"/>
      <c r="AK8" s="30"/>
      <c r="AL8" s="30"/>
      <c r="AM8" s="30"/>
      <c r="AN8" s="30"/>
      <c r="AO8" s="30"/>
      <c r="AP8" s="30"/>
      <c r="AQ8" s="30"/>
      <c r="AR8" s="30"/>
    </row>
    <row r="9" spans="1:44" x14ac:dyDescent="0.3">
      <c r="A9" s="23"/>
      <c r="B9" s="23"/>
      <c r="C9" s="23"/>
      <c r="D9" s="23"/>
      <c r="E9" s="23"/>
      <c r="F9" s="23"/>
      <c r="G9" s="23"/>
      <c r="H9" s="23"/>
      <c r="I9" s="23"/>
      <c r="J9" s="23"/>
      <c r="K9" s="23"/>
      <c r="L9" s="23"/>
      <c r="M9" s="23"/>
      <c r="N9" s="23"/>
      <c r="O9" s="23"/>
      <c r="P9" s="23"/>
      <c r="Q9" s="23"/>
      <c r="R9" s="23"/>
      <c r="S9" s="23"/>
      <c r="T9" s="23"/>
      <c r="U9" s="23"/>
      <c r="V9" s="23"/>
      <c r="W9" s="23"/>
      <c r="X9" s="23"/>
      <c r="Y9" s="23"/>
      <c r="Z9" s="30"/>
      <c r="AA9" s="30"/>
      <c r="AB9" s="30"/>
      <c r="AC9" s="30"/>
      <c r="AD9" s="30"/>
      <c r="AE9" s="30"/>
      <c r="AF9" s="30"/>
      <c r="AG9" s="30"/>
      <c r="AH9" s="30"/>
      <c r="AI9" s="30"/>
      <c r="AJ9" s="30"/>
      <c r="AK9" s="30"/>
      <c r="AL9" s="30"/>
      <c r="AM9" s="30"/>
      <c r="AN9" s="30"/>
      <c r="AO9" s="30"/>
      <c r="AP9" s="30"/>
      <c r="AQ9" s="30"/>
      <c r="AR9" s="30"/>
    </row>
    <row r="10" spans="1:44" x14ac:dyDescent="0.3">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30"/>
      <c r="AA10" s="30"/>
      <c r="AB10" s="30"/>
      <c r="AC10" s="30"/>
      <c r="AD10" s="30"/>
      <c r="AE10" s="30"/>
      <c r="AF10" s="30"/>
      <c r="AG10" s="30"/>
      <c r="AH10" s="30"/>
      <c r="AI10" s="30"/>
      <c r="AJ10" s="30"/>
      <c r="AK10" s="30"/>
      <c r="AL10" s="30"/>
      <c r="AM10" s="30"/>
      <c r="AN10" s="30"/>
      <c r="AO10" s="30"/>
      <c r="AP10" s="30"/>
      <c r="AQ10" s="30"/>
      <c r="AR10" s="30"/>
    </row>
    <row r="11" spans="1:44" x14ac:dyDescent="0.3">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30"/>
      <c r="AA11" s="30"/>
      <c r="AB11" s="30"/>
      <c r="AC11" s="30"/>
      <c r="AD11" s="30"/>
      <c r="AE11" s="30"/>
      <c r="AF11" s="30"/>
      <c r="AG11" s="30"/>
      <c r="AH11" s="30"/>
      <c r="AI11" s="30"/>
      <c r="AJ11" s="30"/>
      <c r="AK11" s="30"/>
      <c r="AL11" s="30"/>
      <c r="AM11" s="30"/>
      <c r="AN11" s="30"/>
      <c r="AO11" s="30"/>
      <c r="AP11" s="30"/>
      <c r="AQ11" s="30"/>
      <c r="AR11" s="30"/>
    </row>
    <row r="12" spans="1:44" x14ac:dyDescent="0.3">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30"/>
      <c r="AA12" s="30"/>
      <c r="AB12" s="30"/>
      <c r="AC12" s="30"/>
      <c r="AD12" s="30"/>
      <c r="AE12" s="30"/>
      <c r="AF12" s="30"/>
      <c r="AG12" s="30"/>
      <c r="AH12" s="30"/>
      <c r="AI12" s="30"/>
      <c r="AJ12" s="30"/>
      <c r="AK12" s="30"/>
      <c r="AL12" s="30"/>
      <c r="AM12" s="30"/>
      <c r="AN12" s="30"/>
      <c r="AO12" s="30"/>
      <c r="AP12" s="30"/>
      <c r="AQ12" s="30"/>
      <c r="AR12" s="30"/>
    </row>
    <row r="13" spans="1:44" x14ac:dyDescent="0.3">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30"/>
      <c r="AA13" s="30"/>
      <c r="AB13" s="30"/>
      <c r="AC13" s="30"/>
      <c r="AD13" s="30"/>
      <c r="AE13" s="30"/>
      <c r="AF13" s="30"/>
      <c r="AG13" s="30"/>
      <c r="AH13" s="30"/>
      <c r="AI13" s="30"/>
      <c r="AJ13" s="30"/>
      <c r="AK13" s="30"/>
      <c r="AL13" s="30"/>
      <c r="AM13" s="30"/>
      <c r="AN13" s="30"/>
      <c r="AO13" s="30"/>
      <c r="AP13" s="30"/>
      <c r="AQ13" s="30"/>
      <c r="AR13" s="30"/>
    </row>
    <row r="14" spans="1:44" x14ac:dyDescent="0.3">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30"/>
      <c r="AA14" s="30"/>
      <c r="AB14" s="30"/>
      <c r="AC14" s="30"/>
      <c r="AD14" s="30"/>
      <c r="AE14" s="30"/>
      <c r="AF14" s="30"/>
      <c r="AG14" s="30"/>
      <c r="AH14" s="30"/>
      <c r="AI14" s="30"/>
      <c r="AJ14" s="30"/>
      <c r="AK14" s="30"/>
      <c r="AL14" s="30"/>
      <c r="AM14" s="30"/>
      <c r="AN14" s="30"/>
      <c r="AO14" s="30"/>
      <c r="AP14" s="30"/>
      <c r="AQ14" s="30"/>
      <c r="AR14" s="30"/>
    </row>
    <row r="15" spans="1:44" x14ac:dyDescent="0.3">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30"/>
      <c r="AA15" s="30"/>
      <c r="AB15" s="30"/>
      <c r="AC15" s="30"/>
      <c r="AD15" s="30"/>
      <c r="AE15" s="30"/>
      <c r="AF15" s="30"/>
      <c r="AG15" s="30"/>
      <c r="AH15" s="30"/>
      <c r="AI15" s="30"/>
      <c r="AJ15" s="30"/>
      <c r="AK15" s="30"/>
      <c r="AL15" s="30"/>
      <c r="AM15" s="30"/>
      <c r="AN15" s="30"/>
      <c r="AO15" s="30"/>
      <c r="AP15" s="30"/>
      <c r="AQ15" s="30"/>
      <c r="AR15" s="30"/>
    </row>
    <row r="16" spans="1:44" x14ac:dyDescent="0.3">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30"/>
      <c r="AA16" s="30"/>
      <c r="AB16" s="30"/>
      <c r="AC16" s="30"/>
      <c r="AD16" s="30"/>
      <c r="AE16" s="30"/>
      <c r="AF16" s="30"/>
      <c r="AG16" s="30"/>
      <c r="AH16" s="30"/>
      <c r="AI16" s="30"/>
      <c r="AJ16" s="30"/>
      <c r="AK16" s="30"/>
      <c r="AL16" s="30"/>
      <c r="AM16" s="30"/>
      <c r="AN16" s="30"/>
      <c r="AO16" s="30"/>
      <c r="AP16" s="30"/>
      <c r="AQ16" s="30"/>
      <c r="AR16" s="30"/>
    </row>
    <row r="17" spans="1:44" x14ac:dyDescent="0.3">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30"/>
      <c r="AA17" s="30"/>
      <c r="AB17" s="30"/>
      <c r="AC17" s="30"/>
      <c r="AD17" s="30"/>
      <c r="AE17" s="30"/>
      <c r="AF17" s="30"/>
      <c r="AG17" s="30"/>
      <c r="AH17" s="30"/>
      <c r="AI17" s="30"/>
      <c r="AJ17" s="30"/>
      <c r="AK17" s="30"/>
      <c r="AL17" s="30"/>
      <c r="AM17" s="30"/>
      <c r="AN17" s="30"/>
      <c r="AO17" s="30"/>
      <c r="AP17" s="30"/>
      <c r="AQ17" s="30"/>
      <c r="AR17" s="30"/>
    </row>
    <row r="18" spans="1:44" x14ac:dyDescent="0.3">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30"/>
      <c r="AA18" s="30"/>
      <c r="AB18" s="30"/>
      <c r="AC18" s="30"/>
      <c r="AD18" s="30"/>
      <c r="AE18" s="30"/>
      <c r="AF18" s="30"/>
      <c r="AG18" s="30"/>
      <c r="AH18" s="30"/>
      <c r="AI18" s="30"/>
      <c r="AJ18" s="30"/>
      <c r="AK18" s="30"/>
      <c r="AL18" s="30"/>
      <c r="AM18" s="30"/>
      <c r="AN18" s="30"/>
      <c r="AO18" s="30"/>
      <c r="AP18" s="30"/>
      <c r="AQ18" s="30"/>
      <c r="AR18" s="30"/>
    </row>
    <row r="19" spans="1:44" x14ac:dyDescent="0.3">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30"/>
      <c r="AA19" s="30"/>
      <c r="AB19" s="30"/>
      <c r="AC19" s="30"/>
      <c r="AD19" s="30"/>
      <c r="AE19" s="30"/>
      <c r="AF19" s="30"/>
      <c r="AG19" s="30"/>
      <c r="AH19" s="30"/>
      <c r="AI19" s="30"/>
      <c r="AJ19" s="30"/>
      <c r="AK19" s="30"/>
      <c r="AL19" s="30"/>
      <c r="AM19" s="30"/>
      <c r="AN19" s="30"/>
      <c r="AO19" s="30"/>
      <c r="AP19" s="30"/>
      <c r="AQ19" s="30"/>
      <c r="AR19" s="30"/>
    </row>
    <row r="20" spans="1:44" x14ac:dyDescent="0.3">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30"/>
      <c r="AA20" s="30"/>
      <c r="AB20" s="30"/>
      <c r="AC20" s="30"/>
      <c r="AD20" s="30"/>
      <c r="AE20" s="30"/>
      <c r="AF20" s="30"/>
      <c r="AG20" s="30"/>
      <c r="AH20" s="30"/>
      <c r="AI20" s="30"/>
      <c r="AJ20" s="30"/>
      <c r="AK20" s="30"/>
      <c r="AL20" s="30"/>
      <c r="AM20" s="30"/>
      <c r="AN20" s="30"/>
      <c r="AO20" s="30"/>
      <c r="AP20" s="30"/>
      <c r="AQ20" s="30"/>
      <c r="AR20" s="30"/>
    </row>
    <row r="21" spans="1:44" x14ac:dyDescent="0.3">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30"/>
      <c r="AA21" s="30"/>
      <c r="AB21" s="30"/>
      <c r="AC21" s="30"/>
      <c r="AD21" s="30"/>
      <c r="AE21" s="30"/>
      <c r="AF21" s="30"/>
      <c r="AG21" s="30"/>
      <c r="AH21" s="30"/>
      <c r="AI21" s="30"/>
      <c r="AJ21" s="30"/>
      <c r="AK21" s="30"/>
      <c r="AL21" s="30"/>
      <c r="AM21" s="30"/>
      <c r="AN21" s="30"/>
      <c r="AO21" s="30"/>
      <c r="AP21" s="30"/>
      <c r="AQ21" s="30"/>
      <c r="AR21" s="30"/>
    </row>
    <row r="22" spans="1:44" x14ac:dyDescent="0.3">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30"/>
      <c r="AA22" s="30"/>
      <c r="AB22" s="30"/>
      <c r="AC22" s="30"/>
      <c r="AD22" s="30"/>
      <c r="AE22" s="30"/>
      <c r="AF22" s="30"/>
      <c r="AG22" s="30"/>
      <c r="AH22" s="30"/>
      <c r="AI22" s="30"/>
      <c r="AJ22" s="30"/>
      <c r="AK22" s="30"/>
      <c r="AL22" s="30"/>
      <c r="AM22" s="30"/>
      <c r="AN22" s="30"/>
      <c r="AO22" s="30"/>
      <c r="AP22" s="30"/>
      <c r="AQ22" s="30"/>
      <c r="AR22" s="30"/>
    </row>
    <row r="23" spans="1:44" x14ac:dyDescent="0.3">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30"/>
      <c r="AA23" s="30"/>
      <c r="AB23" s="30"/>
      <c r="AC23" s="30"/>
      <c r="AD23" s="30"/>
      <c r="AE23" s="30"/>
      <c r="AF23" s="30"/>
      <c r="AG23" s="30"/>
      <c r="AH23" s="30"/>
      <c r="AI23" s="30"/>
      <c r="AJ23" s="30"/>
      <c r="AK23" s="30"/>
      <c r="AL23" s="30"/>
      <c r="AM23" s="30"/>
      <c r="AN23" s="30"/>
      <c r="AO23" s="30"/>
      <c r="AP23" s="30"/>
      <c r="AQ23" s="30"/>
      <c r="AR23" s="30"/>
    </row>
    <row r="24" spans="1:44" x14ac:dyDescent="0.3">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30"/>
      <c r="AA24" s="30"/>
      <c r="AB24" s="30"/>
      <c r="AC24" s="30"/>
      <c r="AD24" s="30"/>
      <c r="AE24" s="30"/>
      <c r="AF24" s="30"/>
      <c r="AG24" s="30"/>
      <c r="AH24" s="30"/>
      <c r="AI24" s="30"/>
      <c r="AJ24" s="30"/>
      <c r="AK24" s="30"/>
      <c r="AL24" s="30"/>
      <c r="AM24" s="30"/>
      <c r="AN24" s="30"/>
      <c r="AO24" s="30"/>
      <c r="AP24" s="30"/>
      <c r="AQ24" s="30"/>
      <c r="AR24" s="30"/>
    </row>
    <row r="25" spans="1:44" x14ac:dyDescent="0.3">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30"/>
      <c r="AA25" s="30"/>
      <c r="AB25" s="30"/>
      <c r="AC25" s="30"/>
      <c r="AD25" s="30"/>
      <c r="AE25" s="30"/>
      <c r="AF25" s="30"/>
      <c r="AG25" s="30"/>
      <c r="AH25" s="30"/>
      <c r="AI25" s="30"/>
      <c r="AJ25" s="30"/>
      <c r="AK25" s="30"/>
      <c r="AL25" s="30"/>
      <c r="AM25" s="30"/>
      <c r="AN25" s="30"/>
      <c r="AO25" s="30"/>
      <c r="AP25" s="30"/>
      <c r="AQ25" s="30"/>
      <c r="AR25" s="30"/>
    </row>
    <row r="26" spans="1:44" x14ac:dyDescent="0.3">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30"/>
      <c r="AA26" s="30"/>
      <c r="AB26" s="30"/>
      <c r="AC26" s="30"/>
      <c r="AD26" s="30"/>
      <c r="AE26" s="30"/>
      <c r="AF26" s="30"/>
      <c r="AG26" s="30"/>
      <c r="AH26" s="30"/>
      <c r="AI26" s="30"/>
      <c r="AJ26" s="30"/>
      <c r="AK26" s="30"/>
      <c r="AL26" s="30"/>
      <c r="AM26" s="30"/>
      <c r="AN26" s="30"/>
      <c r="AO26" s="30"/>
      <c r="AP26" s="30"/>
      <c r="AQ26" s="30"/>
      <c r="AR26" s="30"/>
    </row>
    <row r="27" spans="1:44" x14ac:dyDescent="0.3">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30"/>
      <c r="AA27" s="30"/>
      <c r="AB27" s="30"/>
      <c r="AC27" s="30"/>
      <c r="AD27" s="30"/>
      <c r="AE27" s="30"/>
      <c r="AF27" s="30"/>
      <c r="AG27" s="30"/>
      <c r="AH27" s="30"/>
      <c r="AI27" s="30"/>
      <c r="AJ27" s="30"/>
      <c r="AK27" s="30"/>
      <c r="AL27" s="30"/>
      <c r="AM27" s="30"/>
      <c r="AN27" s="30"/>
      <c r="AO27" s="30"/>
      <c r="AP27" s="30"/>
      <c r="AQ27" s="30"/>
      <c r="AR27" s="30"/>
    </row>
    <row r="28" spans="1:44" x14ac:dyDescent="0.3">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30"/>
      <c r="AA28" s="30"/>
      <c r="AB28" s="30"/>
      <c r="AC28" s="30"/>
      <c r="AD28" s="30"/>
      <c r="AE28" s="30"/>
      <c r="AF28" s="30"/>
      <c r="AG28" s="30"/>
      <c r="AH28" s="30"/>
      <c r="AI28" s="30"/>
      <c r="AJ28" s="30"/>
      <c r="AK28" s="30"/>
      <c r="AL28" s="30"/>
      <c r="AM28" s="30"/>
      <c r="AN28" s="30"/>
      <c r="AO28" s="30"/>
      <c r="AP28" s="30"/>
      <c r="AQ28" s="30"/>
      <c r="AR28" s="30"/>
    </row>
    <row r="29" spans="1:44" x14ac:dyDescent="0.3">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30"/>
      <c r="AA29" s="30"/>
      <c r="AB29" s="30"/>
      <c r="AC29" s="30"/>
      <c r="AD29" s="30"/>
      <c r="AE29" s="30"/>
      <c r="AF29" s="30"/>
      <c r="AG29" s="30"/>
      <c r="AH29" s="30"/>
      <c r="AI29" s="30"/>
      <c r="AJ29" s="30"/>
      <c r="AK29" s="30"/>
      <c r="AL29" s="30"/>
      <c r="AM29" s="30"/>
      <c r="AN29" s="30"/>
      <c r="AO29" s="30"/>
      <c r="AP29" s="30"/>
      <c r="AQ29" s="30"/>
      <c r="AR29" s="30"/>
    </row>
    <row r="30" spans="1:44" x14ac:dyDescent="0.3">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30"/>
      <c r="AA30" s="30"/>
      <c r="AB30" s="30"/>
      <c r="AC30" s="30"/>
      <c r="AD30" s="30"/>
      <c r="AE30" s="30"/>
      <c r="AF30" s="30"/>
      <c r="AG30" s="30"/>
      <c r="AH30" s="30"/>
      <c r="AI30" s="30"/>
      <c r="AJ30" s="30"/>
      <c r="AK30" s="30"/>
      <c r="AL30" s="30"/>
      <c r="AM30" s="30"/>
      <c r="AN30" s="30"/>
      <c r="AO30" s="30"/>
      <c r="AP30" s="30"/>
      <c r="AQ30" s="30"/>
      <c r="AR30" s="30"/>
    </row>
    <row r="31" spans="1:44" x14ac:dyDescent="0.3">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30"/>
      <c r="AA31" s="30"/>
      <c r="AB31" s="30"/>
      <c r="AC31" s="30"/>
      <c r="AD31" s="30"/>
      <c r="AE31" s="30"/>
      <c r="AF31" s="30"/>
      <c r="AG31" s="30"/>
      <c r="AH31" s="30"/>
      <c r="AI31" s="30"/>
      <c r="AJ31" s="30"/>
      <c r="AK31" s="30"/>
      <c r="AL31" s="30"/>
      <c r="AM31" s="30"/>
      <c r="AN31" s="30"/>
      <c r="AO31" s="30"/>
      <c r="AP31" s="30"/>
      <c r="AQ31" s="30"/>
      <c r="AR31" s="30"/>
    </row>
    <row r="32" spans="1:44" x14ac:dyDescent="0.3">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30"/>
      <c r="AA32" s="30"/>
      <c r="AB32" s="30"/>
      <c r="AC32" s="30"/>
      <c r="AD32" s="30"/>
      <c r="AE32" s="30"/>
      <c r="AF32" s="30"/>
      <c r="AG32" s="30"/>
      <c r="AH32" s="30"/>
      <c r="AI32" s="30"/>
      <c r="AJ32" s="30"/>
      <c r="AK32" s="30"/>
      <c r="AL32" s="30"/>
      <c r="AM32" s="30"/>
      <c r="AN32" s="30"/>
      <c r="AO32" s="30"/>
      <c r="AP32" s="30"/>
      <c r="AQ32" s="30"/>
      <c r="AR32" s="30"/>
    </row>
    <row r="33" spans="1:44" x14ac:dyDescent="0.3">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30"/>
      <c r="AA33" s="30"/>
      <c r="AB33" s="30"/>
      <c r="AC33" s="30"/>
      <c r="AD33" s="30"/>
      <c r="AE33" s="30"/>
      <c r="AF33" s="30"/>
      <c r="AG33" s="30"/>
      <c r="AH33" s="30"/>
      <c r="AI33" s="30"/>
      <c r="AJ33" s="30"/>
      <c r="AK33" s="30"/>
      <c r="AL33" s="30"/>
      <c r="AM33" s="30"/>
      <c r="AN33" s="30"/>
      <c r="AO33" s="30"/>
      <c r="AP33" s="30"/>
      <c r="AQ33" s="30"/>
      <c r="AR33" s="30"/>
    </row>
    <row r="34" spans="1:44" x14ac:dyDescent="0.3">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30"/>
      <c r="AA34" s="30"/>
      <c r="AB34" s="30"/>
      <c r="AC34" s="30"/>
      <c r="AD34" s="30"/>
      <c r="AE34" s="30"/>
      <c r="AF34" s="30"/>
      <c r="AG34" s="30"/>
      <c r="AH34" s="30"/>
      <c r="AI34" s="30"/>
      <c r="AJ34" s="30"/>
      <c r="AK34" s="30"/>
      <c r="AL34" s="30"/>
      <c r="AM34" s="30"/>
      <c r="AN34" s="30"/>
      <c r="AO34" s="30"/>
      <c r="AP34" s="30"/>
      <c r="AQ34" s="30"/>
      <c r="AR34" s="30"/>
    </row>
    <row r="35" spans="1:44" x14ac:dyDescent="0.3">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30"/>
      <c r="AA35" s="30"/>
      <c r="AB35" s="30"/>
      <c r="AC35" s="30"/>
      <c r="AD35" s="30"/>
      <c r="AE35" s="30"/>
      <c r="AF35" s="30"/>
      <c r="AG35" s="30"/>
      <c r="AH35" s="30"/>
      <c r="AI35" s="30"/>
      <c r="AJ35" s="30"/>
      <c r="AK35" s="30"/>
      <c r="AL35" s="30"/>
      <c r="AM35" s="30"/>
      <c r="AN35" s="30"/>
      <c r="AO35" s="30"/>
      <c r="AP35" s="30"/>
      <c r="AQ35" s="30"/>
      <c r="AR35" s="30"/>
    </row>
    <row r="36" spans="1:44" x14ac:dyDescent="0.3">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30"/>
      <c r="AA36" s="30"/>
      <c r="AB36" s="30"/>
      <c r="AC36" s="30"/>
      <c r="AD36" s="30"/>
      <c r="AE36" s="30"/>
      <c r="AF36" s="30"/>
      <c r="AG36" s="30"/>
      <c r="AH36" s="30"/>
      <c r="AI36" s="30"/>
      <c r="AJ36" s="30"/>
      <c r="AK36" s="30"/>
      <c r="AL36" s="30"/>
      <c r="AM36" s="30"/>
      <c r="AN36" s="30"/>
      <c r="AO36" s="30"/>
      <c r="AP36" s="30"/>
      <c r="AQ36" s="30"/>
      <c r="AR36" s="30"/>
    </row>
    <row r="37" spans="1:44" x14ac:dyDescent="0.3">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30"/>
      <c r="AA37" s="30"/>
      <c r="AB37" s="30"/>
      <c r="AC37" s="30"/>
      <c r="AD37" s="30"/>
      <c r="AE37" s="30"/>
      <c r="AF37" s="30"/>
      <c r="AG37" s="30"/>
      <c r="AH37" s="30"/>
      <c r="AI37" s="30"/>
      <c r="AJ37" s="30"/>
      <c r="AK37" s="30"/>
      <c r="AL37" s="30"/>
      <c r="AM37" s="30"/>
      <c r="AN37" s="30"/>
      <c r="AO37" s="30"/>
      <c r="AP37" s="30"/>
      <c r="AQ37" s="30"/>
      <c r="AR37" s="30"/>
    </row>
    <row r="38" spans="1:44" x14ac:dyDescent="0.3">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30"/>
      <c r="AA38" s="30"/>
      <c r="AB38" s="30"/>
      <c r="AC38" s="30"/>
      <c r="AD38" s="30"/>
      <c r="AE38" s="30"/>
      <c r="AF38" s="30"/>
      <c r="AG38" s="30"/>
      <c r="AH38" s="30"/>
      <c r="AI38" s="30"/>
      <c r="AJ38" s="30"/>
      <c r="AK38" s="30"/>
      <c r="AL38" s="30"/>
      <c r="AM38" s="30"/>
      <c r="AN38" s="30"/>
      <c r="AO38" s="30"/>
      <c r="AP38" s="30"/>
      <c r="AQ38" s="30"/>
      <c r="AR38" s="30"/>
    </row>
    <row r="39" spans="1:44" x14ac:dyDescent="0.3">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30"/>
      <c r="AA39" s="30"/>
      <c r="AB39" s="30"/>
      <c r="AC39" s="30"/>
      <c r="AD39" s="30"/>
      <c r="AE39" s="30"/>
      <c r="AF39" s="30"/>
      <c r="AG39" s="30"/>
      <c r="AH39" s="30"/>
      <c r="AI39" s="30"/>
      <c r="AJ39" s="30"/>
      <c r="AK39" s="30"/>
      <c r="AL39" s="30"/>
      <c r="AM39" s="30"/>
      <c r="AN39" s="30"/>
      <c r="AO39" s="30"/>
      <c r="AP39" s="30"/>
      <c r="AQ39" s="30"/>
      <c r="AR39" s="30"/>
    </row>
    <row r="40" spans="1:44" x14ac:dyDescent="0.3">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30"/>
      <c r="AA40" s="30"/>
      <c r="AB40" s="30"/>
      <c r="AC40" s="30"/>
      <c r="AD40" s="30"/>
      <c r="AE40" s="30"/>
      <c r="AF40" s="30"/>
      <c r="AG40" s="30"/>
      <c r="AH40" s="30"/>
      <c r="AI40" s="30"/>
      <c r="AJ40" s="30"/>
      <c r="AK40" s="30"/>
      <c r="AL40" s="30"/>
      <c r="AM40" s="30"/>
      <c r="AN40" s="30"/>
      <c r="AO40" s="30"/>
      <c r="AP40" s="30"/>
      <c r="AQ40" s="30"/>
      <c r="AR40" s="30"/>
    </row>
    <row r="41" spans="1:44" x14ac:dyDescent="0.3">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30"/>
      <c r="AA41" s="30"/>
      <c r="AB41" s="30"/>
      <c r="AC41" s="30"/>
      <c r="AD41" s="30"/>
      <c r="AE41" s="30"/>
      <c r="AF41" s="30"/>
      <c r="AG41" s="30"/>
      <c r="AH41" s="30"/>
      <c r="AI41" s="30"/>
      <c r="AJ41" s="30"/>
      <c r="AK41" s="30"/>
      <c r="AL41" s="30"/>
      <c r="AM41" s="30"/>
      <c r="AN41" s="30"/>
      <c r="AO41" s="30"/>
      <c r="AP41" s="30"/>
      <c r="AQ41" s="30"/>
      <c r="AR41" s="30"/>
    </row>
    <row r="42" spans="1:44" x14ac:dyDescent="0.3">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row>
    <row r="43" spans="1:44" x14ac:dyDescent="0.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row>
    <row r="44" spans="1:44" x14ac:dyDescent="0.3">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row>
    <row r="45" spans="1:44" x14ac:dyDescent="0.3">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row>
    <row r="46" spans="1:44" x14ac:dyDescent="0.3">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row>
    <row r="47" spans="1:44" x14ac:dyDescent="0.3">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row>
    <row r="48" spans="1:44" x14ac:dyDescent="0.3">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row>
    <row r="49" spans="1:44" x14ac:dyDescent="0.3">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row>
    <row r="50" spans="1:44" x14ac:dyDescent="0.3">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row>
    <row r="51" spans="1:44" x14ac:dyDescent="0.3">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row>
    <row r="52" spans="1:44" x14ac:dyDescent="0.3">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row>
    <row r="53" spans="1:44" x14ac:dyDescent="0.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row>
    <row r="54" spans="1:44" x14ac:dyDescent="0.3">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row>
    <row r="55" spans="1:44" x14ac:dyDescent="0.3">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row>
    <row r="56" spans="1:44" x14ac:dyDescent="0.3">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row>
    <row r="57" spans="1:44" x14ac:dyDescent="0.3">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row>
    <row r="58" spans="1:44" x14ac:dyDescent="0.3">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row>
    <row r="59" spans="1:44" x14ac:dyDescent="0.3">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row>
    <row r="60" spans="1:44" x14ac:dyDescent="0.3">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row>
    <row r="61" spans="1:44" x14ac:dyDescent="0.3">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row>
    <row r="62" spans="1:44" x14ac:dyDescent="0.3">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row>
    <row r="63" spans="1:44" x14ac:dyDescent="0.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row>
    <row r="64" spans="1:44" x14ac:dyDescent="0.3">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row>
    <row r="65" spans="1:44" x14ac:dyDescent="0.3">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row>
    <row r="66" spans="1:44" x14ac:dyDescent="0.3">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row>
    <row r="67" spans="1:44" x14ac:dyDescent="0.3">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row>
    <row r="68" spans="1:44" x14ac:dyDescent="0.3">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row>
    <row r="69" spans="1:44" x14ac:dyDescent="0.3">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row>
    <row r="70" spans="1:44" x14ac:dyDescent="0.3">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row>
    <row r="71" spans="1:44" x14ac:dyDescent="0.3">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row>
    <row r="72" spans="1:44" x14ac:dyDescent="0.3">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row>
    <row r="73" spans="1:44" x14ac:dyDescent="0.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row>
    <row r="74" spans="1:44" x14ac:dyDescent="0.3">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row>
    <row r="75" spans="1:44" x14ac:dyDescent="0.3">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row>
    <row r="76" spans="1:44" x14ac:dyDescent="0.3">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row>
    <row r="77" spans="1:44" x14ac:dyDescent="0.3">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row>
    <row r="78" spans="1:44" x14ac:dyDescent="0.3">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row>
    <row r="79" spans="1:44" x14ac:dyDescent="0.3">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row>
    <row r="80" spans="1:44" x14ac:dyDescent="0.3">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row>
    <row r="81" spans="1:44" x14ac:dyDescent="0.3">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row>
    <row r="82" spans="1:44" x14ac:dyDescent="0.3">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row>
    <row r="83" spans="1:44" x14ac:dyDescent="0.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row>
    <row r="84" spans="1:44" x14ac:dyDescent="0.3">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row>
    <row r="85" spans="1:44" x14ac:dyDescent="0.3">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row>
    <row r="86" spans="1:44" x14ac:dyDescent="0.3">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row>
    <row r="87" spans="1:44" x14ac:dyDescent="0.3">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row>
    <row r="88" spans="1:44" x14ac:dyDescent="0.3">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row>
    <row r="89" spans="1:44" x14ac:dyDescent="0.3">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row>
    <row r="90" spans="1:44" x14ac:dyDescent="0.3">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row>
    <row r="91" spans="1:44" x14ac:dyDescent="0.3">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row>
    <row r="92" spans="1:44" x14ac:dyDescent="0.3">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row>
    <row r="93" spans="1:44" x14ac:dyDescent="0.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row>
    <row r="94" spans="1:44" x14ac:dyDescent="0.3">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row>
    <row r="95" spans="1:44" x14ac:dyDescent="0.3">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row>
    <row r="96" spans="1:44" x14ac:dyDescent="0.3">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row>
    <row r="97" spans="1:44" x14ac:dyDescent="0.3">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row>
    <row r="98" spans="1:44" x14ac:dyDescent="0.3">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row>
    <row r="99" spans="1:44" x14ac:dyDescent="0.3">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row>
    <row r="100" spans="1:44" x14ac:dyDescent="0.3">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row>
    <row r="101" spans="1:44" x14ac:dyDescent="0.3">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row>
    <row r="102" spans="1:44" x14ac:dyDescent="0.3">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row>
    <row r="103" spans="1:44" x14ac:dyDescent="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row>
    <row r="104" spans="1:44" x14ac:dyDescent="0.3">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row>
    <row r="105" spans="1:44" x14ac:dyDescent="0.3">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row>
    <row r="106" spans="1:44" x14ac:dyDescent="0.3">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row>
    <row r="107" spans="1:44" x14ac:dyDescent="0.3">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row>
    <row r="108" spans="1:44" x14ac:dyDescent="0.3">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row>
    <row r="109" spans="1:44" x14ac:dyDescent="0.3">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row>
    <row r="110" spans="1:44" x14ac:dyDescent="0.3">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row>
    <row r="111" spans="1:44" x14ac:dyDescent="0.3">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row>
    <row r="112" spans="1:44" x14ac:dyDescent="0.3">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row>
    <row r="113" spans="1:44" x14ac:dyDescent="0.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row>
    <row r="114" spans="1:44" x14ac:dyDescent="0.3">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row>
    <row r="115" spans="1:44" x14ac:dyDescent="0.3">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row>
    <row r="116" spans="1:44" x14ac:dyDescent="0.3">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row>
    <row r="117" spans="1:44" x14ac:dyDescent="0.3">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row>
    <row r="118" spans="1:44" x14ac:dyDescent="0.3">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row>
    <row r="119" spans="1:44" x14ac:dyDescent="0.3">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row>
    <row r="120" spans="1:44" x14ac:dyDescent="0.3">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row>
    <row r="121" spans="1:44" x14ac:dyDescent="0.3">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row>
    <row r="122" spans="1:44" x14ac:dyDescent="0.3">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row>
    <row r="123" spans="1:44" x14ac:dyDescent="0.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row>
    <row r="124" spans="1:44" x14ac:dyDescent="0.3">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row>
    <row r="125" spans="1:44" x14ac:dyDescent="0.3">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row>
    <row r="126" spans="1:44" x14ac:dyDescent="0.3">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row>
    <row r="127" spans="1:44" x14ac:dyDescent="0.3">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row>
    <row r="128" spans="1:44" x14ac:dyDescent="0.3">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row>
    <row r="129" spans="1:44" x14ac:dyDescent="0.3">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row>
    <row r="130" spans="1:44" x14ac:dyDescent="0.3">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row>
    <row r="131" spans="1:44" x14ac:dyDescent="0.3">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row>
    <row r="132" spans="1:44" x14ac:dyDescent="0.3">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row>
    <row r="133" spans="1:44" x14ac:dyDescent="0.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row>
    <row r="134" spans="1:44" x14ac:dyDescent="0.3">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row>
    <row r="135" spans="1:44" x14ac:dyDescent="0.3">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row>
    <row r="136" spans="1:44" x14ac:dyDescent="0.3">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row>
    <row r="137" spans="1:44" x14ac:dyDescent="0.3">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row>
    <row r="138" spans="1:44" x14ac:dyDescent="0.3">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row>
    <row r="139" spans="1:44" x14ac:dyDescent="0.3">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row>
    <row r="140" spans="1:44" x14ac:dyDescent="0.3">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row>
    <row r="141" spans="1:44" x14ac:dyDescent="0.3">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row>
    <row r="142" spans="1:44" x14ac:dyDescent="0.3">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row>
    <row r="143" spans="1:44" x14ac:dyDescent="0.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row>
    <row r="144" spans="1:44" x14ac:dyDescent="0.3">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row>
    <row r="145" spans="1:44" x14ac:dyDescent="0.3">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row>
    <row r="146" spans="1:44" x14ac:dyDescent="0.3">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row>
    <row r="147" spans="1:44" x14ac:dyDescent="0.3">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row>
    <row r="148" spans="1:44" x14ac:dyDescent="0.3">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row>
    <row r="149" spans="1:44" x14ac:dyDescent="0.3">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row>
    <row r="150" spans="1:44" x14ac:dyDescent="0.3">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row>
    <row r="151" spans="1:44" x14ac:dyDescent="0.3">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row>
    <row r="152" spans="1:44" x14ac:dyDescent="0.3">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row>
    <row r="153" spans="1:44" x14ac:dyDescent="0.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row>
    <row r="154" spans="1:44" x14ac:dyDescent="0.3">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row>
    <row r="155" spans="1:44" x14ac:dyDescent="0.3">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row>
    <row r="156" spans="1:44" x14ac:dyDescent="0.3">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row>
  </sheetData>
  <mergeCells count="24">
    <mergeCell ref="A42:AR156"/>
    <mergeCell ref="P4:P6"/>
    <mergeCell ref="L4:L6"/>
    <mergeCell ref="D4:D6"/>
    <mergeCell ref="M6:O6"/>
    <mergeCell ref="Q4:S5"/>
    <mergeCell ref="A7:Y41"/>
    <mergeCell ref="Y1:Y6"/>
    <mergeCell ref="Z1:AR41"/>
    <mergeCell ref="X1:X2"/>
    <mergeCell ref="Q6:S6"/>
    <mergeCell ref="U4:W5"/>
    <mergeCell ref="U6:W6"/>
    <mergeCell ref="A1:W2"/>
    <mergeCell ref="A3:X3"/>
    <mergeCell ref="X4:X6"/>
    <mergeCell ref="T4:T6"/>
    <mergeCell ref="A4:C5"/>
    <mergeCell ref="A6:C6"/>
    <mergeCell ref="E4:G5"/>
    <mergeCell ref="E6:G6"/>
    <mergeCell ref="I4:K5"/>
    <mergeCell ref="I6:K6"/>
    <mergeCell ref="M4: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A2379-FF7B-4CD0-938E-1B10F5790406}">
  <sheetPr>
    <tabColor rgb="FF4472C4"/>
  </sheetPr>
  <dimension ref="A1:N14"/>
  <sheetViews>
    <sheetView showGridLines="0" zoomScale="81" workbookViewId="0">
      <selection activeCell="AB29" sqref="AB29"/>
    </sheetView>
  </sheetViews>
  <sheetFormatPr defaultRowHeight="14.4" x14ac:dyDescent="0.3"/>
  <cols>
    <col min="1" max="1" width="14.77734375" bestFit="1" customWidth="1"/>
    <col min="2" max="3" width="11.6640625" bestFit="1" customWidth="1"/>
    <col min="4" max="4" width="9.5546875" bestFit="1" customWidth="1"/>
    <col min="5" max="5" width="3.33203125" customWidth="1"/>
    <col min="6" max="6" width="18.6640625" bestFit="1" customWidth="1"/>
    <col min="7" max="8" width="11.6640625" bestFit="1" customWidth="1"/>
    <col min="9" max="9" width="9.44140625" bestFit="1" customWidth="1"/>
    <col min="10" max="10" width="3.33203125" customWidth="1"/>
    <col min="11" max="11" width="19.44140625" bestFit="1" customWidth="1"/>
    <col min="12" max="13" width="11.6640625" bestFit="1" customWidth="1"/>
    <col min="14" max="14" width="9.44140625" bestFit="1" customWidth="1"/>
  </cols>
  <sheetData>
    <row r="1" spans="1:14" ht="30" customHeight="1" x14ac:dyDescent="0.45">
      <c r="A1" s="27" t="s">
        <v>168</v>
      </c>
      <c r="B1" s="27"/>
      <c r="C1" s="27"/>
      <c r="D1" s="27"/>
      <c r="E1" s="27"/>
      <c r="F1" s="27"/>
      <c r="G1" s="27"/>
      <c r="H1" s="27"/>
      <c r="I1" s="27"/>
      <c r="J1" s="27"/>
      <c r="K1" s="27"/>
      <c r="L1" s="27"/>
      <c r="M1" s="27"/>
      <c r="N1" s="27"/>
    </row>
    <row r="2" spans="1:14" ht="22.05" customHeight="1" x14ac:dyDescent="0.3">
      <c r="A2" s="28" t="s">
        <v>169</v>
      </c>
      <c r="B2" s="28"/>
      <c r="C2" s="28"/>
      <c r="D2" s="28"/>
      <c r="E2" s="28"/>
      <c r="F2" s="28"/>
      <c r="G2" s="28"/>
      <c r="H2" s="28"/>
      <c r="I2" s="28"/>
      <c r="J2" s="28"/>
      <c r="K2" s="28"/>
      <c r="L2" s="28"/>
      <c r="M2" s="28"/>
      <c r="N2" s="28"/>
    </row>
    <row r="5" spans="1:14" ht="22.05" customHeight="1" x14ac:dyDescent="0.3">
      <c r="A5" s="29" t="s">
        <v>170</v>
      </c>
      <c r="B5" s="29"/>
      <c r="C5" s="29"/>
      <c r="D5" s="29"/>
      <c r="F5" s="29" t="s">
        <v>171</v>
      </c>
      <c r="G5" s="29"/>
      <c r="H5" s="29"/>
      <c r="I5" s="29"/>
      <c r="K5" s="29" t="s">
        <v>172</v>
      </c>
      <c r="L5" s="29"/>
      <c r="M5" s="29"/>
      <c r="N5" s="29"/>
    </row>
    <row r="7" spans="1:14" x14ac:dyDescent="0.3">
      <c r="A7" s="19" t="s">
        <v>8</v>
      </c>
      <c r="B7" t="s">
        <v>18</v>
      </c>
      <c r="C7" t="s">
        <v>163</v>
      </c>
      <c r="D7" t="s">
        <v>167</v>
      </c>
      <c r="F7" s="19" t="s">
        <v>6</v>
      </c>
      <c r="G7" t="s">
        <v>18</v>
      </c>
      <c r="H7" t="s">
        <v>163</v>
      </c>
      <c r="I7" t="s">
        <v>167</v>
      </c>
      <c r="K7" s="19" t="s">
        <v>7</v>
      </c>
      <c r="L7" t="s">
        <v>18</v>
      </c>
      <c r="M7" t="s">
        <v>163</v>
      </c>
      <c r="N7" t="s">
        <v>167</v>
      </c>
    </row>
    <row r="8" spans="1:14" x14ac:dyDescent="0.3">
      <c r="A8" t="s">
        <v>37</v>
      </c>
      <c r="B8" s="15">
        <v>111506</v>
      </c>
      <c r="C8" s="15">
        <v>50326</v>
      </c>
      <c r="D8" s="20">
        <v>63</v>
      </c>
      <c r="F8" t="s">
        <v>21</v>
      </c>
      <c r="G8" s="15">
        <v>208551</v>
      </c>
      <c r="H8" s="15">
        <v>94539</v>
      </c>
      <c r="I8" s="20">
        <v>100</v>
      </c>
      <c r="K8" t="s">
        <v>159</v>
      </c>
      <c r="L8" s="15">
        <v>216049</v>
      </c>
      <c r="M8" s="15">
        <v>97543</v>
      </c>
      <c r="N8" s="20">
        <v>108</v>
      </c>
    </row>
    <row r="9" spans="1:14" x14ac:dyDescent="0.3">
      <c r="A9" t="s">
        <v>59</v>
      </c>
      <c r="B9" s="15">
        <v>20080</v>
      </c>
      <c r="C9" s="15">
        <v>9123</v>
      </c>
      <c r="D9" s="20">
        <v>11</v>
      </c>
      <c r="F9" t="s">
        <v>36</v>
      </c>
      <c r="G9" s="15">
        <v>119646</v>
      </c>
      <c r="H9" s="15">
        <v>53962</v>
      </c>
      <c r="I9" s="20">
        <v>61</v>
      </c>
      <c r="K9" t="s">
        <v>160</v>
      </c>
      <c r="L9" s="15">
        <v>147478</v>
      </c>
      <c r="M9" s="15">
        <v>67008</v>
      </c>
      <c r="N9" s="20">
        <v>80</v>
      </c>
    </row>
    <row r="10" spans="1:14" x14ac:dyDescent="0.3">
      <c r="A10" t="s">
        <v>89</v>
      </c>
      <c r="B10" s="15">
        <v>46175</v>
      </c>
      <c r="C10" s="15">
        <v>20981</v>
      </c>
      <c r="D10" s="20">
        <v>20</v>
      </c>
      <c r="F10" t="s">
        <v>43</v>
      </c>
      <c r="G10" s="15">
        <v>35330</v>
      </c>
      <c r="H10" s="15">
        <v>16050</v>
      </c>
      <c r="I10" s="20">
        <v>27</v>
      </c>
      <c r="K10" t="s">
        <v>166</v>
      </c>
      <c r="L10" s="15">
        <v>363527</v>
      </c>
      <c r="M10" s="15">
        <v>164551</v>
      </c>
      <c r="N10" s="20">
        <v>188</v>
      </c>
    </row>
    <row r="11" spans="1:14" x14ac:dyDescent="0.3">
      <c r="A11" t="s">
        <v>51</v>
      </c>
      <c r="B11" s="15">
        <v>30010</v>
      </c>
      <c r="C11" s="15">
        <v>13636</v>
      </c>
      <c r="D11" s="20">
        <v>13</v>
      </c>
      <c r="F11" t="s">
        <v>166</v>
      </c>
      <c r="G11" s="15">
        <v>363527</v>
      </c>
      <c r="H11" s="15">
        <v>164551</v>
      </c>
      <c r="I11" s="20">
        <v>188</v>
      </c>
    </row>
    <row r="12" spans="1:14" x14ac:dyDescent="0.3">
      <c r="A12" t="s">
        <v>29</v>
      </c>
      <c r="B12" s="15">
        <v>19972</v>
      </c>
      <c r="C12" s="15">
        <v>9072</v>
      </c>
      <c r="D12" s="20">
        <v>14</v>
      </c>
    </row>
    <row r="13" spans="1:14" x14ac:dyDescent="0.3">
      <c r="A13" t="s">
        <v>23</v>
      </c>
      <c r="B13" s="15">
        <v>135784</v>
      </c>
      <c r="C13" s="15">
        <v>61413</v>
      </c>
      <c r="D13" s="20">
        <v>67</v>
      </c>
    </row>
    <row r="14" spans="1:14" x14ac:dyDescent="0.3">
      <c r="A14" t="s">
        <v>166</v>
      </c>
      <c r="B14" s="15">
        <v>363527</v>
      </c>
      <c r="C14" s="15">
        <v>164551</v>
      </c>
      <c r="D14" s="20">
        <v>188</v>
      </c>
    </row>
  </sheetData>
  <mergeCells count="5">
    <mergeCell ref="A1:N1"/>
    <mergeCell ref="A2:N2"/>
    <mergeCell ref="A5:D5"/>
    <mergeCell ref="F5:I5"/>
    <mergeCell ref="K5:N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198F9F34832A35489A19D5E200F54CC8" ma:contentTypeVersion="17" ma:contentTypeDescription="Create a new document." ma:contentTypeScope="" ma:versionID="4667fbbc43b4318bb111874a548e13d5">
  <xsd:schema xmlns:xsd="http://www.w3.org/2001/XMLSchema" xmlns:xs="http://www.w3.org/2001/XMLSchema" xmlns:p="http://schemas.microsoft.com/office/2006/metadata/properties" xmlns:ns2="6cf0ffbd-cd96-4ba4-bd4f-bd34e8409846" xmlns:ns3="ef7ae401-bd17-41a5-97cb-ef653218410e" targetNamespace="http://schemas.microsoft.com/office/2006/metadata/properties" ma:root="true" ma:fieldsID="750e449e756990df47b00428a15370bb" ns2:_="" ns3:_="">
    <xsd:import namespace="6cf0ffbd-cd96-4ba4-bd4f-bd34e8409846"/>
    <xsd:import namespace="ef7ae401-bd17-41a5-97cb-ef653218410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AutoKeyPoints" minOccurs="0"/>
                <xsd:element ref="ns2:MediaServiceKeyPoints" minOccurs="0"/>
                <xsd:element ref="ns2:MediaLengthInSeconds" minOccurs="0"/>
                <xsd:element ref="ns3:TaxCatchAll"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f0ffbd-cd96-4ba4-bd4f-bd34e84098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10261dd-85c0-4e16-8580-30375acfae1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7ae401-bd17-41a5-97cb-ef653218410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aefe5af-a435-4393-a14b-6f721e236a53}" ma:internalName="TaxCatchAll" ma:showField="CatchAllData" ma:web="ef7ae401-bd17-41a5-97cb-ef65321841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6cf0ffbd-cd96-4ba4-bd4f-bd34e8409846">
      <Terms xmlns="http://schemas.microsoft.com/office/infopath/2007/PartnerControls"/>
    </lcf76f155ced4ddcb4097134ff3c332f>
    <TaxCatchAll xmlns="ef7ae401-bd17-41a5-97cb-ef653218410e" xsi:nil="true"/>
  </documentManagement>
</p:properties>
</file>

<file path=customXml/itemProps1.xml><?xml version="1.0" encoding="utf-8"?>
<ds:datastoreItem xmlns:ds="http://schemas.openxmlformats.org/officeDocument/2006/customXml" ds:itemID="{26C1EC83-7B15-45CF-AF70-E5E307847F1E}">
  <ds:schemaRefs>
    <ds:schemaRef ds:uri="http://schemas.microsoft.com/DataMashup"/>
  </ds:schemaRefs>
</ds:datastoreItem>
</file>

<file path=customXml/itemProps2.xml><?xml version="1.0" encoding="utf-8"?>
<ds:datastoreItem xmlns:ds="http://schemas.openxmlformats.org/officeDocument/2006/customXml" ds:itemID="{700A3249-61A6-4732-B467-CFA4F502C1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cf0ffbd-cd96-4ba4-bd4f-bd34e8409846"/>
    <ds:schemaRef ds:uri="ef7ae401-bd17-41a5-97cb-ef65321841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77C7D5-983C-4B15-A63B-38F48A7EACDF}">
  <ds:schemaRefs>
    <ds:schemaRef ds:uri="http://schemas.microsoft.com/sharepoint/v3/contenttype/forms"/>
  </ds:schemaRefs>
</ds:datastoreItem>
</file>

<file path=customXml/itemProps4.xml><?xml version="1.0" encoding="utf-8"?>
<ds:datastoreItem xmlns:ds="http://schemas.openxmlformats.org/officeDocument/2006/customXml" ds:itemID="{B0E83AF8-2C50-4089-9716-0DC4D6C9EB5B}">
  <ds:schemaRefs>
    <ds:schemaRef ds:uri="http://schemas.microsoft.com/office/2006/metadata/properties"/>
    <ds:schemaRef ds:uri="http://schemas.microsoft.com/office/infopath/2007/PartnerControls"/>
    <ds:schemaRef ds:uri="6cf0ffbd-cd96-4ba4-bd4f-bd34e8409846"/>
    <ds:schemaRef ds:uri="ef7ae401-bd17-41a5-97cb-ef653218410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 Sales</vt:lpstr>
      <vt:lpstr>Table1</vt:lpstr>
      <vt:lpstr>Charts</vt:lpstr>
      <vt:lpstr>Sales Pivot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Pickard, John</dc:creator>
  <cp:keywords/>
  <dc:description/>
  <cp:lastModifiedBy>Ankita Bansal</cp:lastModifiedBy>
  <cp:revision/>
  <dcterms:created xsi:type="dcterms:W3CDTF">2022-11-04T20:14:11Z</dcterms:created>
  <dcterms:modified xsi:type="dcterms:W3CDTF">2026-10-07T07:54:34Z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0x010100198F9F34832A35489A19D5E200F54CC8</vt:lpwstr>
  </property>
</Properties>
</file>